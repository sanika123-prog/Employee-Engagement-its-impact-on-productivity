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c2518df2ad3cc5/เอกสาร/Swateja Excel project/"/>
    </mc:Choice>
  </mc:AlternateContent>
  <xr:revisionPtr revIDLastSave="8" documentId="8_{78DDD318-323D-49D3-BA5C-1C15CD0AE9C6}" xr6:coauthVersionLast="47" xr6:coauthVersionMax="47" xr10:uidLastSave="{C6A53E0A-E9DD-4352-98C0-0DEE945F22E0}"/>
  <bookViews>
    <workbookView xWindow="-108" yWindow="-108" windowWidth="23256" windowHeight="12456" xr2:uid="{3239EB14-E3EB-4A1A-BDCA-650A3E889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1" i="1" l="1"/>
  <c r="E151" i="1" s="1"/>
  <c r="E150" i="1"/>
  <c r="E149" i="1"/>
  <c r="E148" i="1"/>
  <c r="E147" i="1"/>
  <c r="D144" i="1"/>
  <c r="E144" i="1" s="1"/>
  <c r="E143" i="1"/>
  <c r="E142" i="1"/>
  <c r="E141" i="1"/>
  <c r="E140" i="1"/>
  <c r="D137" i="1"/>
  <c r="E137" i="1" s="1"/>
  <c r="E136" i="1"/>
  <c r="E135" i="1"/>
  <c r="E134" i="1"/>
  <c r="E133" i="1"/>
  <c r="D130" i="1"/>
  <c r="E130" i="1" s="1"/>
  <c r="E129" i="1"/>
  <c r="E128" i="1"/>
  <c r="E127" i="1"/>
  <c r="E126" i="1"/>
  <c r="D123" i="1"/>
  <c r="E123" i="1" s="1"/>
  <c r="E122" i="1"/>
  <c r="E121" i="1"/>
  <c r="E120" i="1"/>
  <c r="E119" i="1"/>
  <c r="D116" i="1"/>
  <c r="E116" i="1" s="1"/>
  <c r="E115" i="1"/>
  <c r="E114" i="1"/>
  <c r="D111" i="1"/>
  <c r="E111" i="1" s="1"/>
  <c r="E110" i="1"/>
  <c r="E109" i="1"/>
  <c r="D106" i="1"/>
  <c r="E106" i="1" s="1"/>
  <c r="E105" i="1"/>
  <c r="E104" i="1"/>
  <c r="D101" i="1"/>
  <c r="E101" i="1" s="1"/>
  <c r="E100" i="1"/>
  <c r="E99" i="1"/>
  <c r="D96" i="1"/>
  <c r="E96" i="1" s="1"/>
  <c r="E95" i="1"/>
  <c r="E94" i="1"/>
  <c r="D91" i="1"/>
  <c r="E91" i="1" s="1"/>
  <c r="E90" i="1"/>
  <c r="E89" i="1"/>
  <c r="D86" i="1"/>
  <c r="E86" i="1" s="1"/>
  <c r="E85" i="1"/>
  <c r="E84" i="1"/>
  <c r="E83" i="1"/>
  <c r="E82" i="1"/>
  <c r="E81" i="1"/>
  <c r="D78" i="1"/>
  <c r="E78" i="1" s="1"/>
  <c r="E77" i="1"/>
  <c r="E76" i="1"/>
  <c r="E75" i="1"/>
  <c r="E74" i="1"/>
  <c r="E73" i="1"/>
  <c r="D70" i="1"/>
  <c r="E70" i="1" s="1"/>
  <c r="E69" i="1"/>
  <c r="E68" i="1"/>
  <c r="E67" i="1"/>
  <c r="E66" i="1"/>
  <c r="E65" i="1"/>
  <c r="D62" i="1"/>
  <c r="E62" i="1" s="1"/>
  <c r="E61" i="1"/>
  <c r="E60" i="1"/>
  <c r="E59" i="1"/>
  <c r="E58" i="1"/>
  <c r="E57" i="1"/>
  <c r="D54" i="1"/>
  <c r="E54" i="1" s="1"/>
  <c r="E53" i="1"/>
  <c r="E52" i="1"/>
  <c r="E51" i="1"/>
  <c r="E50" i="1"/>
  <c r="E49" i="1"/>
  <c r="D46" i="1"/>
  <c r="E46" i="1" s="1"/>
  <c r="E45" i="1"/>
  <c r="E44" i="1"/>
  <c r="E43" i="1"/>
  <c r="E42" i="1"/>
  <c r="E41" i="1"/>
  <c r="D38" i="1"/>
  <c r="E38" i="1" s="1"/>
  <c r="E37" i="1"/>
  <c r="E36" i="1"/>
  <c r="E35" i="1"/>
  <c r="E34" i="1"/>
  <c r="D31" i="1"/>
  <c r="E31" i="1" s="1"/>
  <c r="E30" i="1"/>
  <c r="E29" i="1"/>
  <c r="E28" i="1"/>
  <c r="E27" i="1"/>
  <c r="E26" i="1"/>
  <c r="E23" i="1"/>
  <c r="D23" i="1"/>
  <c r="E22" i="1"/>
  <c r="E21" i="1"/>
  <c r="E20" i="1"/>
  <c r="E19" i="1"/>
  <c r="E18" i="1"/>
  <c r="E17" i="1"/>
  <c r="D14" i="1"/>
  <c r="E14" i="1" s="1"/>
  <c r="E13" i="1"/>
  <c r="E12" i="1"/>
  <c r="E11" i="1"/>
  <c r="E10" i="1"/>
</calcChain>
</file>

<file path=xl/sharedStrings.xml><?xml version="1.0" encoding="utf-8"?>
<sst xmlns="http://schemas.openxmlformats.org/spreadsheetml/2006/main" count="239" uniqueCount="105">
  <si>
    <t>sr no</t>
  </si>
  <si>
    <t>Gender</t>
  </si>
  <si>
    <t>No Of Respondant</t>
  </si>
  <si>
    <t>Percentage</t>
  </si>
  <si>
    <t>Male</t>
  </si>
  <si>
    <t>Female</t>
  </si>
  <si>
    <t>Total</t>
  </si>
  <si>
    <t>Sr No</t>
  </si>
  <si>
    <t>Age</t>
  </si>
  <si>
    <t>No of respondant</t>
  </si>
  <si>
    <t>18 - 25</t>
  </si>
  <si>
    <t>26 - 35</t>
  </si>
  <si>
    <t>36 - 45</t>
  </si>
  <si>
    <t>Above 45</t>
  </si>
  <si>
    <t>Sr no</t>
  </si>
  <si>
    <t>Education</t>
  </si>
  <si>
    <t>No of Respondant</t>
  </si>
  <si>
    <t>10th</t>
  </si>
  <si>
    <t>11th</t>
  </si>
  <si>
    <t>12th</t>
  </si>
  <si>
    <t>ITI</t>
  </si>
  <si>
    <t>Diploma</t>
  </si>
  <si>
    <t>B.A</t>
  </si>
  <si>
    <t>Year of Experience</t>
  </si>
  <si>
    <t>Less than 1 year</t>
  </si>
  <si>
    <t>1 - 3 year</t>
  </si>
  <si>
    <t>4 - 6 year</t>
  </si>
  <si>
    <t>7 - 10 year</t>
  </si>
  <si>
    <t>More than 10 year</t>
  </si>
  <si>
    <t>Employment Type</t>
  </si>
  <si>
    <t>Permanent</t>
  </si>
  <si>
    <t>Contract</t>
  </si>
  <si>
    <t>Part - Time</t>
  </si>
  <si>
    <t>Internship</t>
  </si>
  <si>
    <t>Particular</t>
  </si>
  <si>
    <t>Strongaly Disagree</t>
  </si>
  <si>
    <t>Disagree</t>
  </si>
  <si>
    <t>Neutral</t>
  </si>
  <si>
    <t>Agree</t>
  </si>
  <si>
    <t>Strongaly Agree</t>
  </si>
  <si>
    <t>Yes</t>
  </si>
  <si>
    <t>No</t>
  </si>
  <si>
    <t>Recognition and rewards</t>
  </si>
  <si>
    <t>Training and development opportunities</t>
  </si>
  <si>
    <t>Supportive work environment and teamwork</t>
  </si>
  <si>
    <t>Career growth and promotion opportunities</t>
  </si>
  <si>
    <t>Encourage employees to share ideas for process improvement</t>
  </si>
  <si>
    <t>Conduct employee satisfaction surveys regularly</t>
  </si>
  <si>
    <t>Effective implementation of 5S</t>
  </si>
  <si>
    <t>Active participation in DSI (Daily Small Improvement)</t>
  </si>
  <si>
    <t>Personal mobile phone usage during working hours</t>
  </si>
  <si>
    <t>Time wasted searching for tools</t>
  </si>
  <si>
    <t>Stress and fatigue</t>
  </si>
  <si>
    <t>Absenteeism</t>
  </si>
  <si>
    <t>Employee of the Month award</t>
  </si>
  <si>
    <t>Appreciation from the supervisor</t>
  </si>
  <si>
    <t>Promotion &amp; career advancement</t>
  </si>
  <si>
    <t>Salary increment</t>
  </si>
  <si>
    <t>Reduce idle time during production</t>
  </si>
  <si>
    <t>Conduct employee feedback &amp; suggestion program</t>
  </si>
  <si>
    <t>Strengthen the existing DSI program</t>
  </si>
  <si>
    <t>Increase employee participation in decision-making</t>
  </si>
  <si>
    <t>Q.1</t>
  </si>
  <si>
    <t>Q.2</t>
  </si>
  <si>
    <t>Q.3</t>
  </si>
  <si>
    <t>Q.4</t>
  </si>
  <si>
    <t>Years of experience</t>
  </si>
  <si>
    <t>Q.5</t>
  </si>
  <si>
    <t>Employment type</t>
  </si>
  <si>
    <t>Q.6</t>
  </si>
  <si>
    <t>Do you clearly understand your job responsibilities?</t>
  </si>
  <si>
    <t>Q.7</t>
  </si>
  <si>
    <t>Do you feel motivated to perform your best at work?</t>
  </si>
  <si>
    <t>Q.8</t>
  </si>
  <si>
    <t>Do you get recognition for good performance?</t>
  </si>
  <si>
    <t>Q.9</t>
  </si>
  <si>
    <t>Do you have opportunities for learning &amp; growth?</t>
  </si>
  <si>
    <t>Q.10</t>
  </si>
  <si>
    <t>Do you receive regular feedback on your performance?</t>
  </si>
  <si>
    <t>Q.11</t>
  </si>
  <si>
    <t>Can you maintain high-quality work under pressure?</t>
  </si>
  <si>
    <t>Q.12</t>
  </si>
  <si>
    <t>Are you willing to take extra responsibility when needed?</t>
  </si>
  <si>
    <t>Q.13</t>
  </si>
  <si>
    <t>Has your work productivity improved over the past year?</t>
  </si>
  <si>
    <t>Q.14</t>
  </si>
  <si>
    <t>Do you feel employee engagement positively affects productivity?</t>
  </si>
  <si>
    <t>Q.15</t>
  </si>
  <si>
    <t>Do recognition &amp; rewards improve employee performance?</t>
  </si>
  <si>
    <t>Q.16</t>
  </si>
  <si>
    <t>Do training and development programs improve employee efficiency?</t>
  </si>
  <si>
    <t>Q.17</t>
  </si>
  <si>
    <t>Do you think employee engagement reduces absenteeism &amp; turnover?</t>
  </si>
  <si>
    <t>Q.18</t>
  </si>
  <si>
    <t>Which factor makes you feel most engaged and motivated?</t>
  </si>
  <si>
    <t>Q.19</t>
  </si>
  <si>
    <t>What initiative should the organization take to improve employee engagement?</t>
  </si>
  <si>
    <t>Q.20</t>
  </si>
  <si>
    <t>What barriers reduce your productivity at work?</t>
  </si>
  <si>
    <t>Q.21</t>
  </si>
  <si>
    <t>What type of recognition &amp; rewards motivate you the most?</t>
  </si>
  <si>
    <t>Q.22</t>
  </si>
  <si>
    <t>If you could recommend one change to improve both employee engagement &amp; productivity, what would it be?</t>
  </si>
  <si>
    <t>DATA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</si>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</sst>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angal"/>
      <family val="2"/>
      <scheme val="minor"/>
    </font>
    <font>
      <b/>
      <sz val="11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9" fontId="0" fillId="0" borderId="1" xfId="0" applyNumberFormat="1" applyBorder="1"/>
    <xf numFmtId="0" fontId="1" fillId="0" borderId="2" xfId="0" applyFont="1" applyBorder="1"/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402DD-D64E-42FE-AC76-986049E973FB}">
  <dimension ref="A2:Q151"/>
  <sheetViews>
    <sheetView tabSelected="1" workbookViewId="0">
      <selection activeCell="H12" sqref="H12"/>
    </sheetView>
  </sheetViews>
  <sheetFormatPr defaultRowHeight="24" x14ac:dyDescent="0.8"/>
  <cols>
    <col min="3" max="3" width="57.69921875" customWidth="1"/>
    <col min="4" max="4" width="18.5" customWidth="1"/>
    <col min="5" max="5" width="11.69921875" customWidth="1"/>
    <col min="8" max="8" width="17.69921875" customWidth="1"/>
  </cols>
  <sheetData>
    <row r="2" spans="1:10" x14ac:dyDescent="0.8">
      <c r="B2" s="7" t="s">
        <v>103</v>
      </c>
      <c r="C2" s="7"/>
      <c r="D2" s="7"/>
      <c r="E2" s="7"/>
      <c r="G2" s="7" t="s">
        <v>104</v>
      </c>
      <c r="H2" s="7"/>
      <c r="I2" s="7"/>
      <c r="J2" s="7"/>
    </row>
    <row r="4" spans="1:10" x14ac:dyDescent="0.8">
      <c r="A4">
        <v>1</v>
      </c>
      <c r="B4" s="1" t="s">
        <v>0</v>
      </c>
      <c r="C4" s="1" t="s">
        <v>1</v>
      </c>
      <c r="D4" s="1" t="s">
        <v>2</v>
      </c>
      <c r="E4" s="1" t="s">
        <v>3</v>
      </c>
      <c r="G4" s="5" t="s">
        <v>62</v>
      </c>
      <c r="H4" t="s">
        <v>1</v>
      </c>
    </row>
    <row r="5" spans="1:10" x14ac:dyDescent="0.8">
      <c r="B5" s="2">
        <v>1</v>
      </c>
      <c r="C5" s="2" t="s">
        <v>4</v>
      </c>
      <c r="D5" s="3">
        <v>31</v>
      </c>
      <c r="E5" s="4">
        <v>0.68</v>
      </c>
    </row>
    <row r="6" spans="1:10" x14ac:dyDescent="0.8">
      <c r="B6" s="2">
        <v>2</v>
      </c>
      <c r="C6" s="2" t="s">
        <v>5</v>
      </c>
      <c r="D6" s="3">
        <v>19</v>
      </c>
      <c r="E6" s="4">
        <v>0.38</v>
      </c>
    </row>
    <row r="7" spans="1:10" x14ac:dyDescent="0.8">
      <c r="B7" s="1" t="s">
        <v>6</v>
      </c>
      <c r="C7" s="2"/>
      <c r="D7" s="3">
        <v>50</v>
      </c>
      <c r="E7" s="4">
        <v>1</v>
      </c>
    </row>
    <row r="9" spans="1:10" x14ac:dyDescent="0.8">
      <c r="A9">
        <v>2</v>
      </c>
      <c r="B9" s="1" t="s">
        <v>7</v>
      </c>
      <c r="C9" s="1" t="s">
        <v>8</v>
      </c>
      <c r="D9" s="1" t="s">
        <v>9</v>
      </c>
      <c r="E9" s="1" t="s">
        <v>3</v>
      </c>
      <c r="G9" s="5" t="s">
        <v>63</v>
      </c>
      <c r="H9" s="5" t="s">
        <v>8</v>
      </c>
    </row>
    <row r="10" spans="1:10" x14ac:dyDescent="0.8">
      <c r="B10" s="2">
        <v>1</v>
      </c>
      <c r="C10" s="2" t="s">
        <v>10</v>
      </c>
      <c r="D10" s="2">
        <v>9</v>
      </c>
      <c r="E10" s="4">
        <f>D10/50</f>
        <v>0.18</v>
      </c>
    </row>
    <row r="11" spans="1:10" x14ac:dyDescent="0.8">
      <c r="B11" s="2">
        <v>2</v>
      </c>
      <c r="C11" s="2" t="s">
        <v>11</v>
      </c>
      <c r="D11" s="2">
        <v>19</v>
      </c>
      <c r="E11" s="4">
        <f t="shared" ref="E11:E14" si="0">D11/50</f>
        <v>0.38</v>
      </c>
    </row>
    <row r="12" spans="1:10" x14ac:dyDescent="0.8">
      <c r="B12" s="2">
        <v>3</v>
      </c>
      <c r="C12" s="2" t="s">
        <v>12</v>
      </c>
      <c r="D12" s="2">
        <v>11</v>
      </c>
      <c r="E12" s="4">
        <f t="shared" si="0"/>
        <v>0.22</v>
      </c>
    </row>
    <row r="13" spans="1:10" x14ac:dyDescent="0.8">
      <c r="B13" s="2">
        <v>4</v>
      </c>
      <c r="C13" s="2" t="s">
        <v>13</v>
      </c>
      <c r="D13" s="2">
        <v>11</v>
      </c>
      <c r="E13" s="4">
        <f t="shared" si="0"/>
        <v>0.22</v>
      </c>
    </row>
    <row r="14" spans="1:10" x14ac:dyDescent="0.8">
      <c r="B14" s="1" t="s">
        <v>6</v>
      </c>
      <c r="C14" s="2"/>
      <c r="D14" s="2">
        <f>SUM(D10:D13)</f>
        <v>50</v>
      </c>
      <c r="E14" s="4">
        <f t="shared" si="0"/>
        <v>1</v>
      </c>
    </row>
    <row r="16" spans="1:10" x14ac:dyDescent="0.8">
      <c r="A16">
        <v>3</v>
      </c>
      <c r="B16" s="1" t="s">
        <v>14</v>
      </c>
      <c r="C16" s="1" t="s">
        <v>15</v>
      </c>
      <c r="D16" s="1" t="s">
        <v>16</v>
      </c>
      <c r="E16" s="1" t="s">
        <v>3</v>
      </c>
      <c r="G16" s="5" t="s">
        <v>64</v>
      </c>
      <c r="H16" t="s">
        <v>15</v>
      </c>
    </row>
    <row r="17" spans="1:8" x14ac:dyDescent="0.8">
      <c r="B17" s="2">
        <v>1</v>
      </c>
      <c r="C17" s="2" t="s">
        <v>17</v>
      </c>
      <c r="D17" s="2">
        <v>16</v>
      </c>
      <c r="E17" s="4">
        <f>D17/50</f>
        <v>0.32</v>
      </c>
    </row>
    <row r="18" spans="1:8" x14ac:dyDescent="0.8">
      <c r="B18" s="2">
        <v>2</v>
      </c>
      <c r="C18" s="2" t="s">
        <v>18</v>
      </c>
      <c r="D18" s="2">
        <v>5</v>
      </c>
      <c r="E18" s="4">
        <f t="shared" ref="E18:E23" si="1">D18/50</f>
        <v>0.1</v>
      </c>
    </row>
    <row r="19" spans="1:8" x14ac:dyDescent="0.8">
      <c r="B19" s="2">
        <v>3</v>
      </c>
      <c r="C19" s="2" t="s">
        <v>19</v>
      </c>
      <c r="D19" s="2">
        <v>4</v>
      </c>
      <c r="E19" s="4">
        <f t="shared" si="1"/>
        <v>0.08</v>
      </c>
    </row>
    <row r="20" spans="1:8" x14ac:dyDescent="0.8">
      <c r="B20" s="2">
        <v>4</v>
      </c>
      <c r="C20" s="2" t="s">
        <v>20</v>
      </c>
      <c r="D20" s="2">
        <v>14</v>
      </c>
      <c r="E20" s="4">
        <f t="shared" si="1"/>
        <v>0.28000000000000003</v>
      </c>
    </row>
    <row r="21" spans="1:8" x14ac:dyDescent="0.8">
      <c r="B21" s="2">
        <v>5</v>
      </c>
      <c r="C21" s="2" t="s">
        <v>21</v>
      </c>
      <c r="D21" s="2">
        <v>4</v>
      </c>
      <c r="E21" s="4">
        <f t="shared" si="1"/>
        <v>0.08</v>
      </c>
    </row>
    <row r="22" spans="1:8" x14ac:dyDescent="0.8">
      <c r="B22" s="2">
        <v>6</v>
      </c>
      <c r="C22" s="2" t="s">
        <v>22</v>
      </c>
      <c r="D22" s="2">
        <v>7</v>
      </c>
      <c r="E22" s="4">
        <f t="shared" si="1"/>
        <v>0.14000000000000001</v>
      </c>
    </row>
    <row r="23" spans="1:8" x14ac:dyDescent="0.8">
      <c r="B23" s="1" t="s">
        <v>6</v>
      </c>
      <c r="C23" s="2"/>
      <c r="D23" s="2">
        <f>SUM(D17:D22)</f>
        <v>50</v>
      </c>
      <c r="E23" s="4">
        <f t="shared" si="1"/>
        <v>1</v>
      </c>
    </row>
    <row r="25" spans="1:8" x14ac:dyDescent="0.8">
      <c r="A25">
        <v>4</v>
      </c>
      <c r="B25" s="1" t="s">
        <v>7</v>
      </c>
      <c r="C25" s="1" t="s">
        <v>23</v>
      </c>
      <c r="D25" s="1" t="s">
        <v>16</v>
      </c>
      <c r="E25" s="1" t="s">
        <v>3</v>
      </c>
      <c r="G25" s="5" t="s">
        <v>65</v>
      </c>
      <c r="H25" t="s">
        <v>66</v>
      </c>
    </row>
    <row r="26" spans="1:8" x14ac:dyDescent="0.8">
      <c r="B26" s="2">
        <v>1</v>
      </c>
      <c r="C26" s="2" t="s">
        <v>24</v>
      </c>
      <c r="D26" s="2">
        <v>7</v>
      </c>
      <c r="E26" s="4">
        <f>D26/50</f>
        <v>0.14000000000000001</v>
      </c>
    </row>
    <row r="27" spans="1:8" x14ac:dyDescent="0.8">
      <c r="B27" s="2">
        <v>2</v>
      </c>
      <c r="C27" s="2" t="s">
        <v>25</v>
      </c>
      <c r="D27" s="2">
        <v>13</v>
      </c>
      <c r="E27" s="4">
        <f t="shared" ref="E27:E31" si="2">D27/50</f>
        <v>0.26</v>
      </c>
    </row>
    <row r="28" spans="1:8" x14ac:dyDescent="0.8">
      <c r="B28" s="2">
        <v>3</v>
      </c>
      <c r="C28" s="2" t="s">
        <v>26</v>
      </c>
      <c r="D28" s="2">
        <v>11</v>
      </c>
      <c r="E28" s="4">
        <f t="shared" si="2"/>
        <v>0.22</v>
      </c>
    </row>
    <row r="29" spans="1:8" x14ac:dyDescent="0.8">
      <c r="B29" s="2">
        <v>4</v>
      </c>
      <c r="C29" s="2" t="s">
        <v>27</v>
      </c>
      <c r="D29" s="2">
        <v>7</v>
      </c>
      <c r="E29" s="4">
        <f t="shared" si="2"/>
        <v>0.14000000000000001</v>
      </c>
    </row>
    <row r="30" spans="1:8" x14ac:dyDescent="0.8">
      <c r="B30" s="2">
        <v>5</v>
      </c>
      <c r="C30" s="2" t="s">
        <v>28</v>
      </c>
      <c r="D30" s="2">
        <v>12</v>
      </c>
      <c r="E30" s="4">
        <f t="shared" si="2"/>
        <v>0.24</v>
      </c>
    </row>
    <row r="31" spans="1:8" x14ac:dyDescent="0.8">
      <c r="B31" s="1" t="s">
        <v>6</v>
      </c>
      <c r="C31" s="2"/>
      <c r="D31" s="2">
        <f>SUM(D26:D30)</f>
        <v>50</v>
      </c>
      <c r="E31" s="4">
        <f t="shared" si="2"/>
        <v>1</v>
      </c>
    </row>
    <row r="33" spans="1:12" x14ac:dyDescent="0.8">
      <c r="A33">
        <v>5</v>
      </c>
      <c r="B33" s="1" t="s">
        <v>7</v>
      </c>
      <c r="C33" s="1" t="s">
        <v>29</v>
      </c>
      <c r="D33" s="1" t="s">
        <v>16</v>
      </c>
      <c r="E33" s="1" t="s">
        <v>3</v>
      </c>
      <c r="G33" s="5" t="s">
        <v>67</v>
      </c>
      <c r="H33" t="s">
        <v>68</v>
      </c>
    </row>
    <row r="34" spans="1:12" x14ac:dyDescent="0.8">
      <c r="B34" s="2">
        <v>1</v>
      </c>
      <c r="C34" s="2" t="s">
        <v>30</v>
      </c>
      <c r="D34" s="2">
        <v>50</v>
      </c>
      <c r="E34" s="4">
        <f>D34/50</f>
        <v>1</v>
      </c>
    </row>
    <row r="35" spans="1:12" x14ac:dyDescent="0.8">
      <c r="B35" s="2">
        <v>2</v>
      </c>
      <c r="C35" s="2" t="s">
        <v>31</v>
      </c>
      <c r="D35" s="2">
        <v>0</v>
      </c>
      <c r="E35" s="4">
        <f t="shared" ref="E35:E38" si="3">D35/50</f>
        <v>0</v>
      </c>
    </row>
    <row r="36" spans="1:12" x14ac:dyDescent="0.8">
      <c r="B36" s="2">
        <v>3</v>
      </c>
      <c r="C36" s="2" t="s">
        <v>32</v>
      </c>
      <c r="D36" s="2">
        <v>0</v>
      </c>
      <c r="E36" s="4">
        <f t="shared" si="3"/>
        <v>0</v>
      </c>
    </row>
    <row r="37" spans="1:12" x14ac:dyDescent="0.8">
      <c r="B37" s="2">
        <v>4</v>
      </c>
      <c r="C37" s="2" t="s">
        <v>33</v>
      </c>
      <c r="D37" s="2">
        <v>0</v>
      </c>
      <c r="E37" s="4">
        <f t="shared" si="3"/>
        <v>0</v>
      </c>
    </row>
    <row r="38" spans="1:12" x14ac:dyDescent="0.8">
      <c r="B38" s="1" t="s">
        <v>6</v>
      </c>
      <c r="C38" s="2"/>
      <c r="D38" s="2">
        <f>SUM(D34:D37)</f>
        <v>50</v>
      </c>
      <c r="E38" s="4">
        <f t="shared" si="3"/>
        <v>1</v>
      </c>
    </row>
    <row r="40" spans="1:12" x14ac:dyDescent="0.8">
      <c r="A40">
        <v>6</v>
      </c>
      <c r="B40" s="1" t="s">
        <v>7</v>
      </c>
      <c r="C40" s="1" t="s">
        <v>34</v>
      </c>
      <c r="D40" s="1" t="s">
        <v>16</v>
      </c>
      <c r="E40" s="1" t="s">
        <v>3</v>
      </c>
      <c r="G40" s="5" t="s">
        <v>69</v>
      </c>
      <c r="H40" s="6" t="s">
        <v>70</v>
      </c>
      <c r="I40" s="6"/>
      <c r="J40" s="6"/>
      <c r="K40" s="6"/>
    </row>
    <row r="41" spans="1:12" x14ac:dyDescent="0.8">
      <c r="B41" s="2">
        <v>1</v>
      </c>
      <c r="C41" s="2" t="s">
        <v>35</v>
      </c>
      <c r="D41" s="2">
        <v>0</v>
      </c>
      <c r="E41" s="4">
        <f>D41/50</f>
        <v>0</v>
      </c>
    </row>
    <row r="42" spans="1:12" x14ac:dyDescent="0.8">
      <c r="B42" s="2">
        <v>2</v>
      </c>
      <c r="C42" s="2" t="s">
        <v>36</v>
      </c>
      <c r="D42" s="2">
        <v>0</v>
      </c>
      <c r="E42" s="4">
        <f t="shared" ref="E42:E46" si="4">D42/50</f>
        <v>0</v>
      </c>
    </row>
    <row r="43" spans="1:12" x14ac:dyDescent="0.8">
      <c r="B43" s="2">
        <v>3</v>
      </c>
      <c r="C43" s="2" t="s">
        <v>37</v>
      </c>
      <c r="D43" s="2">
        <v>1</v>
      </c>
      <c r="E43" s="4">
        <f t="shared" si="4"/>
        <v>0.02</v>
      </c>
    </row>
    <row r="44" spans="1:12" x14ac:dyDescent="0.8">
      <c r="B44" s="2">
        <v>4</v>
      </c>
      <c r="C44" s="2" t="s">
        <v>38</v>
      </c>
      <c r="D44" s="2">
        <v>19</v>
      </c>
      <c r="E44" s="4">
        <f t="shared" si="4"/>
        <v>0.38</v>
      </c>
    </row>
    <row r="45" spans="1:12" x14ac:dyDescent="0.8">
      <c r="B45" s="2">
        <v>5</v>
      </c>
      <c r="C45" s="2" t="s">
        <v>39</v>
      </c>
      <c r="D45" s="2">
        <v>30</v>
      </c>
      <c r="E45" s="4">
        <f t="shared" si="4"/>
        <v>0.6</v>
      </c>
    </row>
    <row r="46" spans="1:12" x14ac:dyDescent="0.8">
      <c r="B46" s="1" t="s">
        <v>6</v>
      </c>
      <c r="C46" s="2"/>
      <c r="D46" s="2">
        <f>SUM(D41:D45)</f>
        <v>50</v>
      </c>
      <c r="E46" s="4">
        <f t="shared" si="4"/>
        <v>1</v>
      </c>
    </row>
    <row r="48" spans="1:12" x14ac:dyDescent="0.8">
      <c r="A48">
        <v>7</v>
      </c>
      <c r="B48" s="1" t="s">
        <v>7</v>
      </c>
      <c r="C48" s="1" t="s">
        <v>34</v>
      </c>
      <c r="D48" s="1" t="s">
        <v>16</v>
      </c>
      <c r="E48" s="1" t="s">
        <v>3</v>
      </c>
      <c r="G48" s="5" t="s">
        <v>71</v>
      </c>
      <c r="H48" s="6" t="s">
        <v>72</v>
      </c>
      <c r="I48" s="6"/>
      <c r="J48" s="6"/>
      <c r="K48" s="6"/>
      <c r="L48" s="6"/>
    </row>
    <row r="49" spans="1:11" x14ac:dyDescent="0.8">
      <c r="B49" s="2">
        <v>1</v>
      </c>
      <c r="C49" s="2" t="s">
        <v>35</v>
      </c>
      <c r="D49" s="2">
        <v>0</v>
      </c>
      <c r="E49" s="4">
        <f>D49/50</f>
        <v>0</v>
      </c>
    </row>
    <row r="50" spans="1:11" x14ac:dyDescent="0.8">
      <c r="B50" s="2">
        <v>2</v>
      </c>
      <c r="C50" s="2" t="s">
        <v>36</v>
      </c>
      <c r="D50" s="2">
        <v>0</v>
      </c>
      <c r="E50" s="4">
        <f t="shared" ref="E50:E54" si="5">D50/50</f>
        <v>0</v>
      </c>
    </row>
    <row r="51" spans="1:11" x14ac:dyDescent="0.8">
      <c r="B51" s="2">
        <v>3</v>
      </c>
      <c r="C51" s="2" t="s">
        <v>37</v>
      </c>
      <c r="D51" s="2">
        <v>3</v>
      </c>
      <c r="E51" s="4">
        <f t="shared" si="5"/>
        <v>0.06</v>
      </c>
    </row>
    <row r="52" spans="1:11" x14ac:dyDescent="0.8">
      <c r="B52" s="2">
        <v>4</v>
      </c>
      <c r="C52" s="2" t="s">
        <v>38</v>
      </c>
      <c r="D52" s="2">
        <v>17</v>
      </c>
      <c r="E52" s="4">
        <f t="shared" si="5"/>
        <v>0.34</v>
      </c>
    </row>
    <row r="53" spans="1:11" x14ac:dyDescent="0.8">
      <c r="B53" s="2">
        <v>5</v>
      </c>
      <c r="C53" s="2" t="s">
        <v>39</v>
      </c>
      <c r="D53" s="2">
        <v>30</v>
      </c>
      <c r="E53" s="4">
        <f t="shared" si="5"/>
        <v>0.6</v>
      </c>
    </row>
    <row r="54" spans="1:11" x14ac:dyDescent="0.8">
      <c r="B54" s="1" t="s">
        <v>6</v>
      </c>
      <c r="C54" s="2"/>
      <c r="D54" s="2">
        <f>SUM(D49:D53)</f>
        <v>50</v>
      </c>
      <c r="E54" s="4">
        <f t="shared" si="5"/>
        <v>1</v>
      </c>
    </row>
    <row r="56" spans="1:11" x14ac:dyDescent="0.8">
      <c r="A56">
        <v>8</v>
      </c>
      <c r="B56" s="1" t="s">
        <v>7</v>
      </c>
      <c r="C56" s="1" t="s">
        <v>34</v>
      </c>
      <c r="D56" s="1" t="s">
        <v>16</v>
      </c>
      <c r="E56" s="1" t="s">
        <v>3</v>
      </c>
      <c r="G56" s="5" t="s">
        <v>73</v>
      </c>
      <c r="H56" s="6" t="s">
        <v>74</v>
      </c>
      <c r="I56" s="6"/>
      <c r="J56" s="6"/>
      <c r="K56" s="6"/>
    </row>
    <row r="57" spans="1:11" x14ac:dyDescent="0.8">
      <c r="B57" s="2">
        <v>1</v>
      </c>
      <c r="C57" s="2" t="s">
        <v>35</v>
      </c>
      <c r="D57" s="2">
        <v>0</v>
      </c>
      <c r="E57" s="4">
        <f>D57/50</f>
        <v>0</v>
      </c>
    </row>
    <row r="58" spans="1:11" x14ac:dyDescent="0.8">
      <c r="B58" s="2">
        <v>2</v>
      </c>
      <c r="C58" s="2" t="s">
        <v>36</v>
      </c>
      <c r="D58" s="2">
        <v>0</v>
      </c>
      <c r="E58" s="4">
        <f t="shared" ref="E58:E62" si="6">D58/50</f>
        <v>0</v>
      </c>
    </row>
    <row r="59" spans="1:11" x14ac:dyDescent="0.8">
      <c r="B59" s="2">
        <v>3</v>
      </c>
      <c r="C59" s="2" t="s">
        <v>37</v>
      </c>
      <c r="D59" s="2">
        <v>1</v>
      </c>
      <c r="E59" s="4">
        <f t="shared" si="6"/>
        <v>0.02</v>
      </c>
    </row>
    <row r="60" spans="1:11" x14ac:dyDescent="0.8">
      <c r="B60" s="2">
        <v>4</v>
      </c>
      <c r="C60" s="2" t="s">
        <v>38</v>
      </c>
      <c r="D60" s="2">
        <v>12</v>
      </c>
      <c r="E60" s="4">
        <f t="shared" si="6"/>
        <v>0.24</v>
      </c>
    </row>
    <row r="61" spans="1:11" x14ac:dyDescent="0.8">
      <c r="B61" s="2">
        <v>5</v>
      </c>
      <c r="C61" s="2" t="s">
        <v>39</v>
      </c>
      <c r="D61" s="2">
        <v>37</v>
      </c>
      <c r="E61" s="4">
        <f t="shared" si="6"/>
        <v>0.74</v>
      </c>
    </row>
    <row r="62" spans="1:11" x14ac:dyDescent="0.8">
      <c r="B62" s="1" t="s">
        <v>6</v>
      </c>
      <c r="C62" s="2"/>
      <c r="D62" s="2">
        <f>SUM(D57:D61)</f>
        <v>50</v>
      </c>
      <c r="E62" s="4">
        <f t="shared" si="6"/>
        <v>1</v>
      </c>
    </row>
    <row r="64" spans="1:11" x14ac:dyDescent="0.8">
      <c r="A64">
        <v>9</v>
      </c>
      <c r="B64" s="1" t="s">
        <v>7</v>
      </c>
      <c r="C64" s="1" t="s">
        <v>34</v>
      </c>
      <c r="D64" s="1" t="s">
        <v>16</v>
      </c>
      <c r="E64" s="1" t="s">
        <v>3</v>
      </c>
      <c r="G64" s="5" t="s">
        <v>75</v>
      </c>
      <c r="H64" s="6" t="s">
        <v>76</v>
      </c>
      <c r="I64" s="6"/>
      <c r="J64" s="6"/>
      <c r="K64" s="6"/>
    </row>
    <row r="65" spans="1:12" x14ac:dyDescent="0.8">
      <c r="B65" s="2">
        <v>1</v>
      </c>
      <c r="C65" s="2" t="s">
        <v>35</v>
      </c>
      <c r="D65" s="2">
        <v>0</v>
      </c>
      <c r="E65" s="4">
        <f>D65/50</f>
        <v>0</v>
      </c>
    </row>
    <row r="66" spans="1:12" x14ac:dyDescent="0.8">
      <c r="B66" s="2">
        <v>2</v>
      </c>
      <c r="C66" s="2" t="s">
        <v>36</v>
      </c>
      <c r="D66" s="2">
        <v>2</v>
      </c>
      <c r="E66" s="4">
        <f t="shared" ref="E66:E70" si="7">D66/50</f>
        <v>0.04</v>
      </c>
    </row>
    <row r="67" spans="1:12" x14ac:dyDescent="0.8">
      <c r="B67" s="2">
        <v>3</v>
      </c>
      <c r="C67" s="2" t="s">
        <v>37</v>
      </c>
      <c r="D67" s="2">
        <v>0</v>
      </c>
      <c r="E67" s="4">
        <f t="shared" si="7"/>
        <v>0</v>
      </c>
    </row>
    <row r="68" spans="1:12" x14ac:dyDescent="0.8">
      <c r="B68" s="2">
        <v>4</v>
      </c>
      <c r="C68" s="2" t="s">
        <v>38</v>
      </c>
      <c r="D68" s="2">
        <v>20</v>
      </c>
      <c r="E68" s="4">
        <f t="shared" si="7"/>
        <v>0.4</v>
      </c>
    </row>
    <row r="69" spans="1:12" x14ac:dyDescent="0.8">
      <c r="B69" s="2">
        <v>5</v>
      </c>
      <c r="C69" s="2" t="s">
        <v>39</v>
      </c>
      <c r="D69" s="2">
        <v>28</v>
      </c>
      <c r="E69" s="4">
        <f t="shared" si="7"/>
        <v>0.56000000000000005</v>
      </c>
    </row>
    <row r="70" spans="1:12" x14ac:dyDescent="0.8">
      <c r="B70" s="1" t="s">
        <v>6</v>
      </c>
      <c r="C70" s="2"/>
      <c r="D70" s="2">
        <f>SUM(D65:D69)</f>
        <v>50</v>
      </c>
      <c r="E70" s="4">
        <f t="shared" si="7"/>
        <v>1</v>
      </c>
    </row>
    <row r="72" spans="1:12" x14ac:dyDescent="0.8">
      <c r="A72">
        <v>10</v>
      </c>
      <c r="B72" s="1" t="s">
        <v>7</v>
      </c>
      <c r="C72" s="1" t="s">
        <v>34</v>
      </c>
      <c r="D72" s="1" t="s">
        <v>16</v>
      </c>
      <c r="E72" s="1" t="s">
        <v>3</v>
      </c>
      <c r="G72" s="5" t="s">
        <v>77</v>
      </c>
      <c r="H72" s="6" t="s">
        <v>78</v>
      </c>
      <c r="I72" s="6"/>
      <c r="J72" s="6"/>
      <c r="K72" s="6"/>
      <c r="L72" s="6"/>
    </row>
    <row r="73" spans="1:12" x14ac:dyDescent="0.8">
      <c r="B73" s="2">
        <v>1</v>
      </c>
      <c r="C73" s="2" t="s">
        <v>35</v>
      </c>
      <c r="D73" s="2">
        <v>0</v>
      </c>
      <c r="E73" s="4">
        <f>D73/50</f>
        <v>0</v>
      </c>
    </row>
    <row r="74" spans="1:12" x14ac:dyDescent="0.8">
      <c r="B74" s="2">
        <v>2</v>
      </c>
      <c r="C74" s="2" t="s">
        <v>36</v>
      </c>
      <c r="D74" s="2">
        <v>2</v>
      </c>
      <c r="E74" s="4">
        <f t="shared" ref="E74:E78" si="8">D74/50</f>
        <v>0.04</v>
      </c>
    </row>
    <row r="75" spans="1:12" x14ac:dyDescent="0.8">
      <c r="B75" s="2">
        <v>3</v>
      </c>
      <c r="C75" s="2" t="s">
        <v>37</v>
      </c>
      <c r="D75" s="2">
        <v>0</v>
      </c>
      <c r="E75" s="4">
        <f t="shared" si="8"/>
        <v>0</v>
      </c>
    </row>
    <row r="76" spans="1:12" x14ac:dyDescent="0.8">
      <c r="B76" s="2">
        <v>4</v>
      </c>
      <c r="C76" s="2" t="s">
        <v>38</v>
      </c>
      <c r="D76" s="2">
        <v>20</v>
      </c>
      <c r="E76" s="4">
        <f t="shared" si="8"/>
        <v>0.4</v>
      </c>
    </row>
    <row r="77" spans="1:12" x14ac:dyDescent="0.8">
      <c r="B77" s="2">
        <v>5</v>
      </c>
      <c r="C77" s="2" t="s">
        <v>39</v>
      </c>
      <c r="D77" s="2">
        <v>28</v>
      </c>
      <c r="E77" s="4">
        <f t="shared" si="8"/>
        <v>0.56000000000000005</v>
      </c>
    </row>
    <row r="78" spans="1:12" x14ac:dyDescent="0.8">
      <c r="B78" s="1" t="s">
        <v>6</v>
      </c>
      <c r="C78" s="2"/>
      <c r="D78" s="2">
        <f>SUM(D73:D77)</f>
        <v>50</v>
      </c>
      <c r="E78" s="4">
        <f t="shared" si="8"/>
        <v>1</v>
      </c>
    </row>
    <row r="80" spans="1:12" x14ac:dyDescent="0.8">
      <c r="A80">
        <v>11</v>
      </c>
      <c r="B80" s="1" t="s">
        <v>7</v>
      </c>
      <c r="C80" s="1" t="s">
        <v>34</v>
      </c>
      <c r="D80" s="1" t="s">
        <v>16</v>
      </c>
      <c r="E80" s="1" t="s">
        <v>3</v>
      </c>
      <c r="G80" s="5" t="s">
        <v>79</v>
      </c>
      <c r="H80" s="6" t="s">
        <v>80</v>
      </c>
      <c r="I80" s="6"/>
      <c r="J80" s="6"/>
      <c r="K80" s="6"/>
      <c r="L80" s="6"/>
    </row>
    <row r="81" spans="1:12" x14ac:dyDescent="0.8">
      <c r="B81" s="2">
        <v>1</v>
      </c>
      <c r="C81" s="2" t="s">
        <v>35</v>
      </c>
      <c r="D81" s="2">
        <v>1</v>
      </c>
      <c r="E81" s="4">
        <f>D81/50</f>
        <v>0.02</v>
      </c>
    </row>
    <row r="82" spans="1:12" x14ac:dyDescent="0.8">
      <c r="B82" s="2">
        <v>2</v>
      </c>
      <c r="C82" s="2" t="s">
        <v>36</v>
      </c>
      <c r="D82" s="2">
        <v>1</v>
      </c>
      <c r="E82" s="4">
        <f t="shared" ref="E82:E86" si="9">D82/50</f>
        <v>0.02</v>
      </c>
    </row>
    <row r="83" spans="1:12" x14ac:dyDescent="0.8">
      <c r="B83" s="2">
        <v>3</v>
      </c>
      <c r="C83" s="2" t="s">
        <v>37</v>
      </c>
      <c r="D83" s="2">
        <v>1</v>
      </c>
      <c r="E83" s="4">
        <f t="shared" si="9"/>
        <v>0.02</v>
      </c>
    </row>
    <row r="84" spans="1:12" x14ac:dyDescent="0.8">
      <c r="B84" s="2">
        <v>4</v>
      </c>
      <c r="C84" s="2" t="s">
        <v>38</v>
      </c>
      <c r="D84" s="2">
        <v>25</v>
      </c>
      <c r="E84" s="4">
        <f t="shared" si="9"/>
        <v>0.5</v>
      </c>
    </row>
    <row r="85" spans="1:12" x14ac:dyDescent="0.8">
      <c r="B85" s="2">
        <v>5</v>
      </c>
      <c r="C85" s="2" t="s">
        <v>39</v>
      </c>
      <c r="D85" s="2">
        <v>22</v>
      </c>
      <c r="E85" s="4">
        <f t="shared" si="9"/>
        <v>0.44</v>
      </c>
    </row>
    <row r="86" spans="1:12" x14ac:dyDescent="0.8">
      <c r="B86" s="1" t="s">
        <v>6</v>
      </c>
      <c r="C86" s="2"/>
      <c r="D86" s="2">
        <f>SUM(D81:D85)</f>
        <v>50</v>
      </c>
      <c r="E86" s="4">
        <f t="shared" si="9"/>
        <v>1</v>
      </c>
    </row>
    <row r="88" spans="1:12" x14ac:dyDescent="0.8">
      <c r="A88">
        <v>12</v>
      </c>
      <c r="B88" s="1" t="s">
        <v>7</v>
      </c>
      <c r="C88" s="1" t="s">
        <v>34</v>
      </c>
      <c r="D88" s="1" t="s">
        <v>16</v>
      </c>
      <c r="E88" s="1" t="s">
        <v>3</v>
      </c>
      <c r="G88" s="5" t="s">
        <v>81</v>
      </c>
      <c r="H88" s="6" t="s">
        <v>82</v>
      </c>
      <c r="I88" s="6"/>
      <c r="J88" s="6"/>
      <c r="K88" s="6"/>
      <c r="L88" s="6"/>
    </row>
    <row r="89" spans="1:12" x14ac:dyDescent="0.8">
      <c r="B89" s="2">
        <v>1</v>
      </c>
      <c r="C89" s="2" t="s">
        <v>40</v>
      </c>
      <c r="D89" s="2">
        <v>43</v>
      </c>
      <c r="E89" s="4">
        <f>D89/50</f>
        <v>0.86</v>
      </c>
    </row>
    <row r="90" spans="1:12" x14ac:dyDescent="0.8">
      <c r="B90" s="2">
        <v>2</v>
      </c>
      <c r="C90" s="2" t="s">
        <v>41</v>
      </c>
      <c r="D90" s="2">
        <v>7</v>
      </c>
      <c r="E90" s="4">
        <f t="shared" ref="E90:E91" si="10">D90/50</f>
        <v>0.14000000000000001</v>
      </c>
    </row>
    <row r="91" spans="1:12" x14ac:dyDescent="0.8">
      <c r="B91" s="1" t="s">
        <v>6</v>
      </c>
      <c r="C91" s="2"/>
      <c r="D91" s="2">
        <f>SUM(D89:D90)</f>
        <v>50</v>
      </c>
      <c r="E91" s="4">
        <f t="shared" si="10"/>
        <v>1</v>
      </c>
    </row>
    <row r="93" spans="1:12" x14ac:dyDescent="0.8">
      <c r="A93">
        <v>13</v>
      </c>
      <c r="B93" s="1" t="s">
        <v>7</v>
      </c>
      <c r="C93" s="1" t="s">
        <v>34</v>
      </c>
      <c r="D93" s="1" t="s">
        <v>16</v>
      </c>
      <c r="E93" s="1" t="s">
        <v>3</v>
      </c>
      <c r="G93" s="5" t="s">
        <v>83</v>
      </c>
      <c r="H93" s="6" t="s">
        <v>84</v>
      </c>
      <c r="I93" s="6"/>
      <c r="J93" s="6"/>
      <c r="K93" s="6"/>
      <c r="L93" s="6"/>
    </row>
    <row r="94" spans="1:12" x14ac:dyDescent="0.8">
      <c r="B94" s="2">
        <v>1</v>
      </c>
      <c r="C94" s="2" t="s">
        <v>40</v>
      </c>
      <c r="D94" s="2">
        <v>50</v>
      </c>
      <c r="E94" s="4">
        <f>D94/50</f>
        <v>1</v>
      </c>
    </row>
    <row r="95" spans="1:12" x14ac:dyDescent="0.8">
      <c r="B95" s="2">
        <v>2</v>
      </c>
      <c r="C95" s="2" t="s">
        <v>41</v>
      </c>
      <c r="D95" s="2">
        <v>0</v>
      </c>
      <c r="E95" s="4">
        <f t="shared" ref="E95:E96" si="11">D95/50</f>
        <v>0</v>
      </c>
    </row>
    <row r="96" spans="1:12" x14ac:dyDescent="0.8">
      <c r="B96" s="1" t="s">
        <v>6</v>
      </c>
      <c r="C96" s="2"/>
      <c r="D96" s="2">
        <f>SUM(D94:D95)</f>
        <v>50</v>
      </c>
      <c r="E96" s="4">
        <f t="shared" si="11"/>
        <v>1</v>
      </c>
    </row>
    <row r="98" spans="1:13" x14ac:dyDescent="0.8">
      <c r="A98">
        <v>14</v>
      </c>
      <c r="B98" s="1" t="s">
        <v>7</v>
      </c>
      <c r="C98" s="1" t="s">
        <v>34</v>
      </c>
      <c r="D98" s="1" t="s">
        <v>16</v>
      </c>
      <c r="E98" s="1" t="s">
        <v>3</v>
      </c>
      <c r="G98" s="5" t="s">
        <v>85</v>
      </c>
      <c r="H98" s="6" t="s">
        <v>86</v>
      </c>
      <c r="I98" s="6"/>
      <c r="J98" s="6"/>
      <c r="K98" s="6"/>
      <c r="L98" s="6"/>
      <c r="M98" s="6"/>
    </row>
    <row r="99" spans="1:13" x14ac:dyDescent="0.8">
      <c r="B99" s="2">
        <v>1</v>
      </c>
      <c r="C99" s="2" t="s">
        <v>40</v>
      </c>
      <c r="D99" s="2">
        <v>50</v>
      </c>
      <c r="E99" s="4">
        <f>D99/50</f>
        <v>1</v>
      </c>
    </row>
    <row r="100" spans="1:13" x14ac:dyDescent="0.8">
      <c r="B100" s="2">
        <v>2</v>
      </c>
      <c r="C100" s="2" t="s">
        <v>41</v>
      </c>
      <c r="D100" s="2">
        <v>0</v>
      </c>
      <c r="E100" s="4">
        <f t="shared" ref="E100:E101" si="12">D100/50</f>
        <v>0</v>
      </c>
    </row>
    <row r="101" spans="1:13" x14ac:dyDescent="0.8">
      <c r="B101" s="1" t="s">
        <v>6</v>
      </c>
      <c r="C101" s="2"/>
      <c r="D101" s="2">
        <f>SUM(D99:D100)</f>
        <v>50</v>
      </c>
      <c r="E101" s="4">
        <f t="shared" si="12"/>
        <v>1</v>
      </c>
    </row>
    <row r="103" spans="1:13" x14ac:dyDescent="0.8">
      <c r="A103">
        <v>15</v>
      </c>
      <c r="B103" s="1" t="s">
        <v>7</v>
      </c>
      <c r="C103" s="1" t="s">
        <v>34</v>
      </c>
      <c r="D103" s="1" t="s">
        <v>16</v>
      </c>
      <c r="E103" s="1" t="s">
        <v>3</v>
      </c>
      <c r="G103" s="5" t="s">
        <v>87</v>
      </c>
      <c r="H103" s="6" t="s">
        <v>88</v>
      </c>
      <c r="I103" s="6"/>
      <c r="J103" s="6"/>
      <c r="K103" s="6"/>
      <c r="L103" s="6"/>
    </row>
    <row r="104" spans="1:13" x14ac:dyDescent="0.8">
      <c r="B104" s="2">
        <v>1</v>
      </c>
      <c r="C104" s="2" t="s">
        <v>40</v>
      </c>
      <c r="D104" s="2">
        <v>50</v>
      </c>
      <c r="E104" s="4">
        <f>D104/50</f>
        <v>1</v>
      </c>
    </row>
    <row r="105" spans="1:13" x14ac:dyDescent="0.8">
      <c r="B105" s="2">
        <v>2</v>
      </c>
      <c r="C105" s="2" t="s">
        <v>41</v>
      </c>
      <c r="D105" s="2">
        <v>0</v>
      </c>
      <c r="E105" s="4">
        <f t="shared" ref="E105:E106" si="13">D105/50</f>
        <v>0</v>
      </c>
    </row>
    <row r="106" spans="1:13" x14ac:dyDescent="0.8">
      <c r="B106" s="1" t="s">
        <v>6</v>
      </c>
      <c r="C106" s="2"/>
      <c r="D106" s="2">
        <f>SUM(D104:D105)</f>
        <v>50</v>
      </c>
      <c r="E106" s="4">
        <f t="shared" si="13"/>
        <v>1</v>
      </c>
    </row>
    <row r="108" spans="1:13" x14ac:dyDescent="0.8">
      <c r="A108">
        <v>16</v>
      </c>
      <c r="B108" s="1" t="s">
        <v>7</v>
      </c>
      <c r="C108" s="1" t="s">
        <v>34</v>
      </c>
      <c r="D108" s="1" t="s">
        <v>16</v>
      </c>
      <c r="E108" s="1" t="s">
        <v>3</v>
      </c>
      <c r="G108" s="5" t="s">
        <v>89</v>
      </c>
      <c r="H108" s="6" t="s">
        <v>90</v>
      </c>
      <c r="I108" s="6"/>
      <c r="J108" s="6"/>
      <c r="K108" s="6"/>
      <c r="L108" s="6"/>
      <c r="M108" s="6"/>
    </row>
    <row r="109" spans="1:13" x14ac:dyDescent="0.8">
      <c r="B109" s="2">
        <v>1</v>
      </c>
      <c r="C109" s="2" t="s">
        <v>40</v>
      </c>
      <c r="D109" s="2">
        <v>50</v>
      </c>
      <c r="E109" s="4">
        <f>D109/50</f>
        <v>1</v>
      </c>
    </row>
    <row r="110" spans="1:13" x14ac:dyDescent="0.8">
      <c r="B110" s="2">
        <v>2</v>
      </c>
      <c r="C110" s="2" t="s">
        <v>41</v>
      </c>
      <c r="D110" s="2">
        <v>0</v>
      </c>
      <c r="E110" s="4">
        <f t="shared" ref="E110:E111" si="14">D110/50</f>
        <v>0</v>
      </c>
    </row>
    <row r="111" spans="1:13" x14ac:dyDescent="0.8">
      <c r="B111" s="1" t="s">
        <v>6</v>
      </c>
      <c r="C111" s="2"/>
      <c r="D111" s="2">
        <f>SUM(D109:D110)</f>
        <v>50</v>
      </c>
      <c r="E111" s="4">
        <f t="shared" si="14"/>
        <v>1</v>
      </c>
    </row>
    <row r="113" spans="1:14" x14ac:dyDescent="0.8">
      <c r="A113">
        <v>17</v>
      </c>
      <c r="B113" s="1" t="s">
        <v>7</v>
      </c>
      <c r="C113" s="1" t="s">
        <v>34</v>
      </c>
      <c r="D113" s="1" t="s">
        <v>16</v>
      </c>
      <c r="E113" s="1" t="s">
        <v>3</v>
      </c>
      <c r="G113" s="5" t="s">
        <v>91</v>
      </c>
      <c r="H113" s="6" t="s">
        <v>92</v>
      </c>
      <c r="I113" s="6"/>
      <c r="J113" s="6"/>
      <c r="K113" s="6"/>
      <c r="L113" s="6"/>
      <c r="M113" s="6"/>
    </row>
    <row r="114" spans="1:14" x14ac:dyDescent="0.8">
      <c r="B114" s="2">
        <v>1</v>
      </c>
      <c r="C114" s="2" t="s">
        <v>40</v>
      </c>
      <c r="D114" s="2">
        <v>47</v>
      </c>
      <c r="E114" s="4">
        <f>D114/50</f>
        <v>0.94</v>
      </c>
    </row>
    <row r="115" spans="1:14" x14ac:dyDescent="0.8">
      <c r="B115" s="2">
        <v>2</v>
      </c>
      <c r="C115" s="2" t="s">
        <v>41</v>
      </c>
      <c r="D115" s="2">
        <v>3</v>
      </c>
      <c r="E115" s="4">
        <f t="shared" ref="E115:E116" si="15">D115/50</f>
        <v>0.06</v>
      </c>
    </row>
    <row r="116" spans="1:14" x14ac:dyDescent="0.8">
      <c r="B116" s="1" t="s">
        <v>6</v>
      </c>
      <c r="C116" s="2"/>
      <c r="D116" s="2">
        <f>SUM(D114:D115)</f>
        <v>50</v>
      </c>
      <c r="E116" s="4">
        <f t="shared" si="15"/>
        <v>1</v>
      </c>
    </row>
    <row r="118" spans="1:14" x14ac:dyDescent="0.8">
      <c r="A118">
        <v>18</v>
      </c>
      <c r="B118" s="1" t="s">
        <v>7</v>
      </c>
      <c r="C118" s="1" t="s">
        <v>34</v>
      </c>
      <c r="D118" s="1" t="s">
        <v>16</v>
      </c>
      <c r="E118" s="1" t="s">
        <v>3</v>
      </c>
      <c r="G118" s="5" t="s">
        <v>93</v>
      </c>
      <c r="H118" s="6" t="s">
        <v>94</v>
      </c>
      <c r="I118" s="6"/>
      <c r="J118" s="6"/>
      <c r="K118" s="6"/>
      <c r="L118" s="6"/>
    </row>
    <row r="119" spans="1:14" x14ac:dyDescent="0.8">
      <c r="B119" s="2">
        <v>1</v>
      </c>
      <c r="C119" s="2" t="s">
        <v>42</v>
      </c>
      <c r="D119" s="2">
        <v>11</v>
      </c>
      <c r="E119" s="4">
        <f>D119/50</f>
        <v>0.22</v>
      </c>
    </row>
    <row r="120" spans="1:14" x14ac:dyDescent="0.8">
      <c r="B120" s="2">
        <v>2</v>
      </c>
      <c r="C120" s="2" t="s">
        <v>43</v>
      </c>
      <c r="D120" s="2">
        <v>19</v>
      </c>
      <c r="E120" s="4">
        <f t="shared" ref="E120:E123" si="16">D120/50</f>
        <v>0.38</v>
      </c>
    </row>
    <row r="121" spans="1:14" x14ac:dyDescent="0.8">
      <c r="B121" s="2">
        <v>3</v>
      </c>
      <c r="C121" s="2" t="s">
        <v>44</v>
      </c>
      <c r="D121" s="2">
        <v>20</v>
      </c>
      <c r="E121" s="4">
        <f t="shared" si="16"/>
        <v>0.4</v>
      </c>
    </row>
    <row r="122" spans="1:14" x14ac:dyDescent="0.8">
      <c r="B122" s="2">
        <v>4</v>
      </c>
      <c r="C122" s="2" t="s">
        <v>45</v>
      </c>
      <c r="D122" s="2">
        <v>0</v>
      </c>
      <c r="E122" s="4">
        <f t="shared" si="16"/>
        <v>0</v>
      </c>
    </row>
    <row r="123" spans="1:14" x14ac:dyDescent="0.8">
      <c r="B123" s="1" t="s">
        <v>6</v>
      </c>
      <c r="C123" s="2"/>
      <c r="D123" s="2">
        <f>SUM(D119:D122)</f>
        <v>50</v>
      </c>
      <c r="E123" s="4">
        <f t="shared" si="16"/>
        <v>1</v>
      </c>
    </row>
    <row r="125" spans="1:14" x14ac:dyDescent="0.8">
      <c r="A125">
        <v>19</v>
      </c>
      <c r="B125" s="1" t="s">
        <v>7</v>
      </c>
      <c r="C125" s="1" t="s">
        <v>34</v>
      </c>
      <c r="D125" s="1" t="s">
        <v>16</v>
      </c>
      <c r="E125" s="1" t="s">
        <v>3</v>
      </c>
      <c r="G125" s="5" t="s">
        <v>95</v>
      </c>
      <c r="H125" s="6" t="s">
        <v>96</v>
      </c>
      <c r="I125" s="6"/>
      <c r="J125" s="6"/>
      <c r="K125" s="6"/>
      <c r="L125" s="6"/>
      <c r="M125" s="6"/>
      <c r="N125" s="6"/>
    </row>
    <row r="126" spans="1:14" x14ac:dyDescent="0.8">
      <c r="B126" s="2">
        <v>1</v>
      </c>
      <c r="C126" s="2" t="s">
        <v>46</v>
      </c>
      <c r="D126" s="2">
        <v>9</v>
      </c>
      <c r="E126" s="4">
        <f>D126/50</f>
        <v>0.18</v>
      </c>
    </row>
    <row r="127" spans="1:14" x14ac:dyDescent="0.8">
      <c r="B127" s="2">
        <v>2</v>
      </c>
      <c r="C127" s="2" t="s">
        <v>47</v>
      </c>
      <c r="D127" s="2">
        <v>15</v>
      </c>
      <c r="E127" s="4">
        <f t="shared" ref="E127:E130" si="17">D127/50</f>
        <v>0.3</v>
      </c>
    </row>
    <row r="128" spans="1:14" x14ac:dyDescent="0.8">
      <c r="B128" s="2">
        <v>3</v>
      </c>
      <c r="C128" s="2" t="s">
        <v>48</v>
      </c>
      <c r="D128" s="2">
        <v>5</v>
      </c>
      <c r="E128" s="4">
        <f t="shared" si="17"/>
        <v>0.1</v>
      </c>
    </row>
    <row r="129" spans="1:12" x14ac:dyDescent="0.8">
      <c r="B129" s="2">
        <v>4</v>
      </c>
      <c r="C129" s="2" t="s">
        <v>49</v>
      </c>
      <c r="D129" s="2">
        <v>21</v>
      </c>
      <c r="E129" s="4">
        <f t="shared" si="17"/>
        <v>0.42</v>
      </c>
    </row>
    <row r="130" spans="1:12" x14ac:dyDescent="0.8">
      <c r="B130" s="1" t="s">
        <v>6</v>
      </c>
      <c r="C130" s="2"/>
      <c r="D130" s="2">
        <f>SUM(D126:D129)</f>
        <v>50</v>
      </c>
      <c r="E130" s="4">
        <f t="shared" si="17"/>
        <v>1</v>
      </c>
    </row>
    <row r="132" spans="1:12" x14ac:dyDescent="0.8">
      <c r="A132">
        <v>20</v>
      </c>
      <c r="B132" s="1" t="s">
        <v>7</v>
      </c>
      <c r="C132" s="1" t="s">
        <v>34</v>
      </c>
      <c r="D132" s="1" t="s">
        <v>16</v>
      </c>
      <c r="E132" s="1" t="s">
        <v>3</v>
      </c>
      <c r="G132" s="5" t="s">
        <v>97</v>
      </c>
      <c r="H132" s="6" t="s">
        <v>98</v>
      </c>
      <c r="I132" s="6"/>
      <c r="J132" s="6"/>
      <c r="K132" s="6"/>
    </row>
    <row r="133" spans="1:12" x14ac:dyDescent="0.8">
      <c r="B133" s="2">
        <v>1</v>
      </c>
      <c r="C133" s="2" t="s">
        <v>50</v>
      </c>
      <c r="D133" s="2">
        <v>19</v>
      </c>
      <c r="E133" s="4">
        <f>D133/50</f>
        <v>0.38</v>
      </c>
    </row>
    <row r="134" spans="1:12" x14ac:dyDescent="0.8">
      <c r="B134" s="2">
        <v>2</v>
      </c>
      <c r="C134" s="2" t="s">
        <v>51</v>
      </c>
      <c r="D134" s="2">
        <v>13</v>
      </c>
      <c r="E134" s="4">
        <f t="shared" ref="E134:E137" si="18">D134/50</f>
        <v>0.26</v>
      </c>
    </row>
    <row r="135" spans="1:12" x14ac:dyDescent="0.8">
      <c r="B135" s="2">
        <v>3</v>
      </c>
      <c r="C135" s="2" t="s">
        <v>52</v>
      </c>
      <c r="D135" s="2">
        <v>15</v>
      </c>
      <c r="E135" s="4">
        <f t="shared" si="18"/>
        <v>0.3</v>
      </c>
    </row>
    <row r="136" spans="1:12" x14ac:dyDescent="0.8">
      <c r="B136" s="2">
        <v>4</v>
      </c>
      <c r="C136" s="2" t="s">
        <v>53</v>
      </c>
      <c r="D136" s="2">
        <v>3</v>
      </c>
      <c r="E136" s="4">
        <f t="shared" si="18"/>
        <v>0.06</v>
      </c>
    </row>
    <row r="137" spans="1:12" x14ac:dyDescent="0.8">
      <c r="B137" s="1" t="s">
        <v>6</v>
      </c>
      <c r="C137" s="2"/>
      <c r="D137" s="2">
        <f>SUM(D133:D136)</f>
        <v>50</v>
      </c>
      <c r="E137" s="4">
        <f t="shared" si="18"/>
        <v>1</v>
      </c>
    </row>
    <row r="139" spans="1:12" x14ac:dyDescent="0.8">
      <c r="A139">
        <v>21</v>
      </c>
      <c r="B139" s="1" t="s">
        <v>7</v>
      </c>
      <c r="C139" s="1" t="s">
        <v>34</v>
      </c>
      <c r="D139" s="1" t="s">
        <v>16</v>
      </c>
      <c r="E139" s="1" t="s">
        <v>3</v>
      </c>
      <c r="G139" s="5" t="s">
        <v>99</v>
      </c>
      <c r="H139" s="6" t="s">
        <v>100</v>
      </c>
      <c r="I139" s="6"/>
      <c r="J139" s="6"/>
      <c r="K139" s="6"/>
      <c r="L139" s="6"/>
    </row>
    <row r="140" spans="1:12" x14ac:dyDescent="0.8">
      <c r="B140" s="2">
        <v>1</v>
      </c>
      <c r="C140" s="2" t="s">
        <v>54</v>
      </c>
      <c r="D140" s="2">
        <v>15</v>
      </c>
      <c r="E140" s="4">
        <f>D140/50</f>
        <v>0.3</v>
      </c>
    </row>
    <row r="141" spans="1:12" x14ac:dyDescent="0.8">
      <c r="B141" s="2">
        <v>2</v>
      </c>
      <c r="C141" s="2" t="s">
        <v>55</v>
      </c>
      <c r="D141" s="2">
        <v>16</v>
      </c>
      <c r="E141" s="4">
        <f t="shared" ref="E141:E144" si="19">D141/50</f>
        <v>0.32</v>
      </c>
    </row>
    <row r="142" spans="1:12" x14ac:dyDescent="0.8">
      <c r="B142" s="2">
        <v>3</v>
      </c>
      <c r="C142" s="2" t="s">
        <v>56</v>
      </c>
      <c r="D142" s="2">
        <v>17</v>
      </c>
      <c r="E142" s="4">
        <f t="shared" si="19"/>
        <v>0.34</v>
      </c>
    </row>
    <row r="143" spans="1:12" x14ac:dyDescent="0.8">
      <c r="B143" s="2">
        <v>4</v>
      </c>
      <c r="C143" s="2" t="s">
        <v>57</v>
      </c>
      <c r="D143" s="2">
        <v>2</v>
      </c>
      <c r="E143" s="4">
        <f t="shared" si="19"/>
        <v>0.04</v>
      </c>
    </row>
    <row r="144" spans="1:12" x14ac:dyDescent="0.8">
      <c r="B144" s="1" t="s">
        <v>6</v>
      </c>
      <c r="C144" s="2"/>
      <c r="D144" s="2">
        <f>SUM(D140:D143)</f>
        <v>50</v>
      </c>
      <c r="E144" s="4">
        <f t="shared" si="19"/>
        <v>1</v>
      </c>
    </row>
    <row r="146" spans="1:17" x14ac:dyDescent="0.8">
      <c r="A146">
        <v>22</v>
      </c>
      <c r="B146" s="1" t="s">
        <v>7</v>
      </c>
      <c r="C146" s="1" t="s">
        <v>34</v>
      </c>
      <c r="D146" s="1" t="s">
        <v>16</v>
      </c>
      <c r="E146" s="1" t="s">
        <v>3</v>
      </c>
      <c r="G146" s="5" t="s">
        <v>101</v>
      </c>
      <c r="H146" s="6" t="s">
        <v>102</v>
      </c>
      <c r="I146" s="6"/>
      <c r="J146" s="6"/>
      <c r="K146" s="6"/>
      <c r="L146" s="6"/>
      <c r="M146" s="6"/>
      <c r="N146" s="6"/>
      <c r="O146" s="6"/>
      <c r="P146" s="6"/>
      <c r="Q146" s="6"/>
    </row>
    <row r="147" spans="1:17" x14ac:dyDescent="0.8">
      <c r="B147" s="2">
        <v>1</v>
      </c>
      <c r="C147" s="2" t="s">
        <v>58</v>
      </c>
      <c r="D147" s="2">
        <v>15</v>
      </c>
      <c r="E147" s="4">
        <f>D147/50</f>
        <v>0.3</v>
      </c>
    </row>
    <row r="148" spans="1:17" x14ac:dyDescent="0.8">
      <c r="B148" s="2">
        <v>2</v>
      </c>
      <c r="C148" s="2" t="s">
        <v>59</v>
      </c>
      <c r="D148" s="2">
        <v>4</v>
      </c>
      <c r="E148" s="4">
        <f t="shared" ref="E148:E151" si="20">D148/50</f>
        <v>0.08</v>
      </c>
    </row>
    <row r="149" spans="1:17" x14ac:dyDescent="0.8">
      <c r="B149" s="2">
        <v>3</v>
      </c>
      <c r="C149" s="2" t="s">
        <v>60</v>
      </c>
      <c r="D149" s="2">
        <v>17</v>
      </c>
      <c r="E149" s="4">
        <f t="shared" si="20"/>
        <v>0.34</v>
      </c>
    </row>
    <row r="150" spans="1:17" x14ac:dyDescent="0.8">
      <c r="B150" s="2">
        <v>4</v>
      </c>
      <c r="C150" s="2" t="s">
        <v>61</v>
      </c>
      <c r="D150" s="2">
        <v>14</v>
      </c>
      <c r="E150" s="4">
        <f t="shared" si="20"/>
        <v>0.28000000000000003</v>
      </c>
    </row>
    <row r="151" spans="1:17" x14ac:dyDescent="0.8">
      <c r="B151" s="1" t="s">
        <v>6</v>
      </c>
      <c r="C151" s="2"/>
      <c r="D151" s="2">
        <f>SUM(D147:D150)</f>
        <v>50</v>
      </c>
      <c r="E151" s="4">
        <f t="shared" si="20"/>
        <v>1</v>
      </c>
    </row>
  </sheetData>
  <mergeCells count="19">
    <mergeCell ref="B2:E2"/>
    <mergeCell ref="G2:J2"/>
    <mergeCell ref="H113:M113"/>
    <mergeCell ref="H40:K40"/>
    <mergeCell ref="H48:L48"/>
    <mergeCell ref="H56:K56"/>
    <mergeCell ref="H64:K64"/>
    <mergeCell ref="H72:L72"/>
    <mergeCell ref="H80:L80"/>
    <mergeCell ref="H88:L88"/>
    <mergeCell ref="H93:L93"/>
    <mergeCell ref="H98:M98"/>
    <mergeCell ref="H103:L103"/>
    <mergeCell ref="H108:M108"/>
    <mergeCell ref="H118:L118"/>
    <mergeCell ref="H125:N125"/>
    <mergeCell ref="H132:K132"/>
    <mergeCell ref="H139:L139"/>
    <mergeCell ref="H146:Q1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Ghadage</dc:creator>
  <cp:lastModifiedBy>Sanika Ghadage</cp:lastModifiedBy>
  <dcterms:created xsi:type="dcterms:W3CDTF">2026-07-28T10:51:51Z</dcterms:created>
  <dcterms:modified xsi:type="dcterms:W3CDTF">2026-07-28T11:25:36Z</dcterms:modified>
</cp:coreProperties>
</file>