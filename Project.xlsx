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c2518df2ad3cc5/เอกสาร/Swateja Excel project/"/>
    </mc:Choice>
  </mc:AlternateContent>
  <xr:revisionPtr revIDLastSave="63" documentId="13_ncr:1_{E3A8A2C2-B9CE-4791-9F53-32159FA20F3D}" xr6:coauthVersionLast="47" xr6:coauthVersionMax="47" xr10:uidLastSave="{E873DB39-A23C-4201-AFA1-D9FD8130D376}"/>
  <bookViews>
    <workbookView xWindow="-108" yWindow="-108" windowWidth="23256" windowHeight="12456" firstSheet="10" activeTab="22" xr2:uid="{C911EAAF-D8F5-4A73-821E-E323312348F5}"/>
  </bookViews>
  <sheets>
    <sheet name="Q.1" sheetId="1" r:id="rId1"/>
    <sheet name="Q.2" sheetId="2" r:id="rId2"/>
    <sheet name="Q.3" sheetId="3" r:id="rId3"/>
    <sheet name="Q.4" sheetId="4" r:id="rId4"/>
    <sheet name="Q.5" sheetId="5" r:id="rId5"/>
    <sheet name="Q.6" sheetId="6" r:id="rId6"/>
    <sheet name="Q.7" sheetId="7" r:id="rId7"/>
    <sheet name="Q.8" sheetId="8" r:id="rId8"/>
    <sheet name="Q.9" sheetId="9" r:id="rId9"/>
    <sheet name="Q.10" sheetId="10" r:id="rId10"/>
    <sheet name="Q.11" sheetId="11" r:id="rId11"/>
    <sheet name="Q.12" sheetId="12" r:id="rId12"/>
    <sheet name="Q.13" sheetId="13" r:id="rId13"/>
    <sheet name="Q.14" sheetId="14" r:id="rId14"/>
    <sheet name="Q.15" sheetId="15" r:id="rId15"/>
    <sheet name="Q.16" sheetId="16" r:id="rId16"/>
    <sheet name="Q.17" sheetId="17" r:id="rId17"/>
    <sheet name="Q.18" sheetId="18" r:id="rId18"/>
    <sheet name="Q.19" sheetId="19" r:id="rId19"/>
    <sheet name="Q.20" sheetId="20" r:id="rId20"/>
    <sheet name="Q.21" sheetId="21" r:id="rId21"/>
    <sheet name="Q.22" sheetId="22" r:id="rId22"/>
    <sheet name="Dashboard" sheetId="23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4" l="1"/>
  <c r="E3" i="3"/>
  <c r="E4" i="22"/>
  <c r="E5" i="22"/>
  <c r="E6" i="22"/>
  <c r="E7" i="22"/>
  <c r="E3" i="22"/>
  <c r="D7" i="22"/>
  <c r="E4" i="21"/>
  <c r="E5" i="21"/>
  <c r="E6" i="21"/>
  <c r="E7" i="21"/>
  <c r="E3" i="21"/>
  <c r="D7" i="21"/>
  <c r="E4" i="20"/>
  <c r="E5" i="20"/>
  <c r="E6" i="20"/>
  <c r="E7" i="20"/>
  <c r="E3" i="20"/>
  <c r="D7" i="20"/>
  <c r="E4" i="19"/>
  <c r="E5" i="19"/>
  <c r="E6" i="19"/>
  <c r="E7" i="19"/>
  <c r="E3" i="19"/>
  <c r="D7" i="19"/>
  <c r="E4" i="18"/>
  <c r="E5" i="18"/>
  <c r="E6" i="18"/>
  <c r="E7" i="18"/>
  <c r="E3" i="18"/>
  <c r="D7" i="18"/>
  <c r="E4" i="17"/>
  <c r="E5" i="17"/>
  <c r="E3" i="17"/>
  <c r="D5" i="17"/>
  <c r="E4" i="16"/>
  <c r="E5" i="16"/>
  <c r="E3" i="16"/>
  <c r="D5" i="16"/>
  <c r="E4" i="15"/>
  <c r="E5" i="15"/>
  <c r="E3" i="15"/>
  <c r="D5" i="15"/>
  <c r="E4" i="14"/>
  <c r="E5" i="14"/>
  <c r="D5" i="14"/>
  <c r="E4" i="13"/>
  <c r="E5" i="13"/>
  <c r="E3" i="13"/>
  <c r="D5" i="13"/>
  <c r="E4" i="12"/>
  <c r="E5" i="12"/>
  <c r="E3" i="12"/>
  <c r="D5" i="12"/>
  <c r="E4" i="11"/>
  <c r="E5" i="11"/>
  <c r="E6" i="11"/>
  <c r="E7" i="11"/>
  <c r="E8" i="11"/>
  <c r="E3" i="11"/>
  <c r="D8" i="11"/>
  <c r="E4" i="10"/>
  <c r="E5" i="10"/>
  <c r="E6" i="10"/>
  <c r="E7" i="10"/>
  <c r="E8" i="10"/>
  <c r="E3" i="10"/>
  <c r="D8" i="10"/>
  <c r="E4" i="9"/>
  <c r="E5" i="9"/>
  <c r="E6" i="9"/>
  <c r="E7" i="9"/>
  <c r="E8" i="9"/>
  <c r="E3" i="9"/>
  <c r="D8" i="9"/>
  <c r="E4" i="8"/>
  <c r="E5" i="8"/>
  <c r="E6" i="8"/>
  <c r="E7" i="8"/>
  <c r="E8" i="8"/>
  <c r="E3" i="8"/>
  <c r="D8" i="8"/>
  <c r="E4" i="7"/>
  <c r="E5" i="7"/>
  <c r="E6" i="7"/>
  <c r="E7" i="7"/>
  <c r="E8" i="7"/>
  <c r="E3" i="7"/>
  <c r="D8" i="7"/>
  <c r="E4" i="6"/>
  <c r="E5" i="6"/>
  <c r="E6" i="6"/>
  <c r="E7" i="6"/>
  <c r="E8" i="6"/>
  <c r="E3" i="6"/>
  <c r="D8" i="6"/>
  <c r="E4" i="5"/>
  <c r="E5" i="5"/>
  <c r="E6" i="5"/>
  <c r="E7" i="5"/>
  <c r="E3" i="5"/>
  <c r="D7" i="5"/>
  <c r="E4" i="4"/>
  <c r="E5" i="4"/>
  <c r="E6" i="4"/>
  <c r="E7" i="4"/>
  <c r="E8" i="4"/>
  <c r="E3" i="4"/>
  <c r="D8" i="4"/>
  <c r="E4" i="3"/>
  <c r="E5" i="3"/>
  <c r="E6" i="3"/>
  <c r="E7" i="3"/>
  <c r="E8" i="3"/>
  <c r="E9" i="3"/>
  <c r="D9" i="3"/>
  <c r="E4" i="2"/>
  <c r="E5" i="2"/>
  <c r="E6" i="2"/>
  <c r="E7" i="2"/>
  <c r="E3" i="2"/>
  <c r="D7" i="2"/>
</calcChain>
</file>

<file path=xl/sharedStrings.xml><?xml version="1.0" encoding="utf-8"?>
<sst xmlns="http://schemas.openxmlformats.org/spreadsheetml/2006/main" count="193" uniqueCount="63">
  <si>
    <t>sr no</t>
  </si>
  <si>
    <t>Gender</t>
  </si>
  <si>
    <t>Male</t>
  </si>
  <si>
    <t>Female</t>
  </si>
  <si>
    <t>No Of Respondant</t>
  </si>
  <si>
    <t>Percentage</t>
  </si>
  <si>
    <t>Total</t>
  </si>
  <si>
    <t>Sr No</t>
  </si>
  <si>
    <t>Age</t>
  </si>
  <si>
    <t>No of respondant</t>
  </si>
  <si>
    <t>18 - 25</t>
  </si>
  <si>
    <t>26 - 35</t>
  </si>
  <si>
    <t>36 - 45</t>
  </si>
  <si>
    <t>Above 45</t>
  </si>
  <si>
    <t>Sr no</t>
  </si>
  <si>
    <t>Education</t>
  </si>
  <si>
    <t>No of Respondant</t>
  </si>
  <si>
    <t>10th</t>
  </si>
  <si>
    <t>11th</t>
  </si>
  <si>
    <t>12th</t>
  </si>
  <si>
    <t>ITI</t>
  </si>
  <si>
    <t>Diploma</t>
  </si>
  <si>
    <t>B.A</t>
  </si>
  <si>
    <t>Year of Experience</t>
  </si>
  <si>
    <t>Less than 1 year</t>
  </si>
  <si>
    <t>1 - 3 year</t>
  </si>
  <si>
    <t>4 - 6 year</t>
  </si>
  <si>
    <t>7 - 10 year</t>
  </si>
  <si>
    <t>More than 10 year</t>
  </si>
  <si>
    <t>Employment Type</t>
  </si>
  <si>
    <t>Permanent</t>
  </si>
  <si>
    <t>Contract</t>
  </si>
  <si>
    <t>Part - Time</t>
  </si>
  <si>
    <t>Internship</t>
  </si>
  <si>
    <t>Particular</t>
  </si>
  <si>
    <t>Strongaly Disagree</t>
  </si>
  <si>
    <t>Disagree</t>
  </si>
  <si>
    <t>Neutral</t>
  </si>
  <si>
    <t>Agree</t>
  </si>
  <si>
    <t>Strongaly Agree</t>
  </si>
  <si>
    <t>Yes</t>
  </si>
  <si>
    <t>No</t>
  </si>
  <si>
    <t>Recognition and rewards</t>
  </si>
  <si>
    <t>Training and development opportunities</t>
  </si>
  <si>
    <t>Supportive work environment and teamwork</t>
  </si>
  <si>
    <t>Career growth and promotion opportunities</t>
  </si>
  <si>
    <t>Encourage employees to share ideas for process improvement</t>
  </si>
  <si>
    <t>Conduct employee satisfaction surveys regularly</t>
  </si>
  <si>
    <t>Effective implementation of 5S</t>
  </si>
  <si>
    <t>Active participation in DSI (Daily Small Improvement)</t>
  </si>
  <si>
    <t>Personal mobile phone usage during working hours</t>
  </si>
  <si>
    <t>Time wasted searching for tools</t>
  </si>
  <si>
    <t>Stress and fatigue</t>
  </si>
  <si>
    <t>Absenteeism</t>
  </si>
  <si>
    <t>Employee of the Month award</t>
  </si>
  <si>
    <t>Appreciation from the supervisor</t>
  </si>
  <si>
    <t>Promotion &amp; career advancement</t>
  </si>
  <si>
    <t>Salary increment</t>
  </si>
  <si>
    <t>Reduce idle time during production</t>
  </si>
  <si>
    <t>Conduct employee feedback &amp; suggestion program</t>
  </si>
  <si>
    <t>Strengthen the existing DSI program</t>
  </si>
  <si>
    <t>Increase employee participation in decision-making</t>
  </si>
  <si>
    <t>Strongly 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</si>
</sst>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angal"/>
      <family val="2"/>
      <scheme val="minor"/>
    </font>
    <font>
      <b/>
      <sz val="11"/>
      <color theme="1"/>
      <name val="Mangal"/>
      <family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0" fontId="1" fillId="0" borderId="1" xfId="0" applyFont="1" applyBorder="1"/>
    <xf numFmtId="0" fontId="0" fillId="0" borderId="1" xfId="0" applyBorder="1"/>
    <xf numFmtId="9" fontId="0" fillId="0" borderId="1" xfId="0" applyNumberForma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1458634444467109E-2"/>
          <c:y val="0.23696244031228519"/>
          <c:w val="0.82592058324860651"/>
          <c:h val="0.57752386154003421"/>
        </c:manualLayout>
      </c:layout>
      <c:pie3DChart>
        <c:varyColors val="1"/>
        <c:ser>
          <c:idx val="0"/>
          <c:order val="0"/>
          <c:tx>
            <c:strRef>
              <c:f>Q.1!$B$3</c:f>
              <c:strCache>
                <c:ptCount val="1"/>
                <c:pt idx="0">
                  <c:v>1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A7-4755-81F3-EA54F706F11D}"/>
              </c:ext>
            </c:extLst>
          </c:dPt>
          <c:dPt>
            <c:idx val="1"/>
            <c:bubble3D val="0"/>
            <c:explosion val="3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A7-4755-81F3-EA54F706F11D}"/>
              </c:ext>
            </c:extLst>
          </c:dPt>
          <c:dPt>
            <c:idx val="2"/>
            <c:bubble3D val="0"/>
            <c:explosion val="26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58A7-4755-81F3-EA54F706F11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A7-4755-81F3-EA54F706F1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="1"/>
                      <a:t>Male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8A7-4755-81F3-EA54F706F1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b="1"/>
                      <a:t>Female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8A7-4755-81F3-EA54F706F1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Q.1!$C$2:$E$2</c:f>
              <c:strCache>
                <c:ptCount val="3"/>
                <c:pt idx="0">
                  <c:v>Gender</c:v>
                </c:pt>
                <c:pt idx="1">
                  <c:v>No Of Respondant</c:v>
                </c:pt>
                <c:pt idx="2">
                  <c:v>Percentage</c:v>
                </c:pt>
              </c:strCache>
            </c:strRef>
          </c:cat>
          <c:val>
            <c:numRef>
              <c:f>Q.1!$C$3:$E$3</c:f>
              <c:numCache>
                <c:formatCode>General</c:formatCode>
                <c:ptCount val="3"/>
                <c:pt idx="0">
                  <c:v>0</c:v>
                </c:pt>
                <c:pt idx="1">
                  <c:v>31</c:v>
                </c:pt>
                <c:pt idx="2" formatCode="0%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7-4755-81F3-EA54F706F11D}"/>
            </c:ext>
          </c:extLst>
        </c:ser>
        <c:ser>
          <c:idx val="1"/>
          <c:order val="1"/>
          <c:tx>
            <c:strRef>
              <c:f>Q.1!$B$4</c:f>
              <c:strCache>
                <c:ptCount val="1"/>
                <c:pt idx="0">
                  <c:v>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FBE-469C-A41B-AC0C945826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FBE-469C-A41B-AC0C945826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FBE-469C-A41B-AC0C94582668}"/>
              </c:ext>
            </c:extLst>
          </c:dPt>
          <c:cat>
            <c:strRef>
              <c:f>Q.1!$C$2:$E$2</c:f>
              <c:strCache>
                <c:ptCount val="3"/>
                <c:pt idx="0">
                  <c:v>Gender</c:v>
                </c:pt>
                <c:pt idx="1">
                  <c:v>No Of Respondant</c:v>
                </c:pt>
                <c:pt idx="2">
                  <c:v>Percentage</c:v>
                </c:pt>
              </c:strCache>
            </c:strRef>
          </c:cat>
          <c:val>
            <c:numRef>
              <c:f>Q.1!$C$4:$E$4</c:f>
              <c:numCache>
                <c:formatCode>General</c:formatCode>
                <c:ptCount val="3"/>
                <c:pt idx="0">
                  <c:v>0</c:v>
                </c:pt>
                <c:pt idx="1">
                  <c:v>19</c:v>
                </c:pt>
                <c:pt idx="2" formatCode="0%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A7-4755-81F3-EA54F706F11D}"/>
            </c:ext>
          </c:extLst>
        </c:ser>
        <c:ser>
          <c:idx val="2"/>
          <c:order val="2"/>
          <c:tx>
            <c:strRef>
              <c:f>Q.1!$B$5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FBE-469C-A41B-AC0C945826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FBE-469C-A41B-AC0C945826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FBE-469C-A41B-AC0C94582668}"/>
              </c:ext>
            </c:extLst>
          </c:dPt>
          <c:cat>
            <c:strRef>
              <c:f>Q.1!$C$2:$E$2</c:f>
              <c:strCache>
                <c:ptCount val="3"/>
                <c:pt idx="0">
                  <c:v>Gender</c:v>
                </c:pt>
                <c:pt idx="1">
                  <c:v>No Of Respondant</c:v>
                </c:pt>
                <c:pt idx="2">
                  <c:v>Percentage</c:v>
                </c:pt>
              </c:strCache>
            </c:strRef>
          </c:cat>
          <c:val>
            <c:numRef>
              <c:f>Q.1!$C$5:$E$5</c:f>
              <c:numCache>
                <c:formatCode>General</c:formatCode>
                <c:ptCount val="3"/>
                <c:pt idx="1">
                  <c:v>50</c:v>
                </c:pt>
                <c:pt idx="2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A7-4755-81F3-EA54F706F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Q.2!$E$2</c:f>
              <c:strCache>
                <c:ptCount val="1"/>
                <c:pt idx="0">
                  <c:v>Percentage</c:v>
                </c:pt>
              </c:strCache>
            </c:strRef>
          </c:tx>
          <c:explosion val="27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DEFD-4D28-89A4-6A1F43B75C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EFD-4D28-89A4-6A1F43B75C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DEFD-4D28-89A4-6A1F43B75C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EFD-4D28-89A4-6A1F43B75CF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18</a:t>
                    </a:r>
                    <a:r>
                      <a:rPr lang="en-US" baseline="0"/>
                      <a:t> - 35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EFD-4D28-89A4-6A1F43B75CF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26 - 35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EFD-4D28-89A4-6A1F43B75CF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36-45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DEFD-4D28-89A4-6A1F43B75CF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Above</a:t>
                    </a:r>
                    <a:r>
                      <a:rPr lang="en-US" baseline="0"/>
                      <a:t> 45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EFD-4D28-89A4-6A1F43B75C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Q.2!$E$3:$E$6</c:f>
              <c:numCache>
                <c:formatCode>0%</c:formatCode>
                <c:ptCount val="4"/>
                <c:pt idx="0">
                  <c:v>0.18</c:v>
                </c:pt>
                <c:pt idx="1">
                  <c:v>0.38</c:v>
                </c:pt>
                <c:pt idx="2">
                  <c:v>0.22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D-4D28-89A4-6A1F43B75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7484946734599344E-2"/>
          <c:y val="0.16825891395477405"/>
          <c:w val="0.83844320058198107"/>
          <c:h val="0.65398960866088063"/>
        </c:manualLayout>
      </c:layout>
      <c:pie3DChart>
        <c:varyColors val="1"/>
        <c:ser>
          <c:idx val="0"/>
          <c:order val="0"/>
          <c:tx>
            <c:strRef>
              <c:f>Q.3!$E$2</c:f>
              <c:strCache>
                <c:ptCount val="1"/>
                <c:pt idx="0">
                  <c:v>Percentage</c:v>
                </c:pt>
              </c:strCache>
            </c:strRef>
          </c:tx>
          <c:explosion val="34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66-432E-B7E1-34F6F668FF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1566-432E-B7E1-34F6F668FF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66-432E-B7E1-34F6F668FF49}"/>
              </c:ext>
            </c:extLst>
          </c:dPt>
          <c:dPt>
            <c:idx val="3"/>
            <c:bubble3D val="0"/>
            <c:explosion val="2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1566-432E-B7E1-34F6F668FF49}"/>
              </c:ext>
            </c:extLst>
          </c:dPt>
          <c:dPt>
            <c:idx val="4"/>
            <c:bubble3D val="0"/>
            <c:explosion val="3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66-432E-B7E1-34F6F668FF49}"/>
              </c:ext>
            </c:extLst>
          </c:dPt>
          <c:dPt>
            <c:idx val="5"/>
            <c:bubble3D val="0"/>
            <c:explosion val="63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1566-432E-B7E1-34F6F668FF4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10th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566-432E-B7E1-34F6F668FF4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11th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566-432E-B7E1-34F6F668FF4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12th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566-432E-B7E1-34F6F668FF4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ITI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566-432E-B7E1-34F6F668FF4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Diploma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566-432E-B7E1-34F6F668FF4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B.A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566-432E-B7E1-34F6F668FF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Q.3!$E$3:$E$8</c:f>
              <c:numCache>
                <c:formatCode>0%</c:formatCode>
                <c:ptCount val="6"/>
                <c:pt idx="0">
                  <c:v>0.32</c:v>
                </c:pt>
                <c:pt idx="1">
                  <c:v>0.1</c:v>
                </c:pt>
                <c:pt idx="2">
                  <c:v>0.08</c:v>
                </c:pt>
                <c:pt idx="3">
                  <c:v>0.28000000000000003</c:v>
                </c:pt>
                <c:pt idx="4">
                  <c:v>0.08</c:v>
                </c:pt>
                <c:pt idx="5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6-432E-B7E1-34F6F668F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</a:t>
            </a:r>
            <a:r>
              <a:rPr lang="en-US" baseline="0"/>
              <a:t> Of Experience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Q.4!$E$2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AA8-452E-B75D-0B4D979BDF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AA8-452E-B75D-0B4D979BDF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AA8-452E-B75D-0B4D979BDF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3AA8-452E-B75D-0B4D979BDF66}"/>
              </c:ext>
            </c:extLst>
          </c:dPt>
          <c:dPt>
            <c:idx val="4"/>
            <c:bubble3D val="0"/>
            <c:explosion val="3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AA8-452E-B75D-0B4D979BDF6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Less</a:t>
                    </a:r>
                    <a:r>
                      <a:rPr lang="en-US" baseline="0"/>
                      <a:t> than 1 year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AA8-452E-B75D-0B4D979BDF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  <a:r>
                      <a:rPr lang="en-US" baseline="0"/>
                      <a:t> - 3 year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3AA8-452E-B75D-0B4D979BDF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  <a:r>
                      <a:rPr lang="en-US" baseline="0"/>
                      <a:t> - 6 year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AA8-452E-B75D-0B4D979BDF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7</a:t>
                    </a:r>
                    <a:r>
                      <a:rPr lang="en-US" baseline="0"/>
                      <a:t> - 10 year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3AA8-452E-B75D-0B4D979BDF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More</a:t>
                    </a:r>
                    <a:r>
                      <a:rPr lang="en-US" baseline="0"/>
                      <a:t> than 10 year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3AA8-452E-B75D-0B4D979BDF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Q.4!$E$3:$E$7</c:f>
              <c:numCache>
                <c:formatCode>0%</c:formatCode>
                <c:ptCount val="5"/>
                <c:pt idx="0">
                  <c:v>0.14000000000000001</c:v>
                </c:pt>
                <c:pt idx="1">
                  <c:v>0.26</c:v>
                </c:pt>
                <c:pt idx="2">
                  <c:v>0.22</c:v>
                </c:pt>
                <c:pt idx="3">
                  <c:v>0.14000000000000001</c:v>
                </c:pt>
                <c:pt idx="4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8-452E-B75D-0B4D979BD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f-ZA" b="1"/>
              <a:t>Employment</a:t>
            </a:r>
            <a:r>
              <a:rPr lang="af-ZA" b="1" baseline="0"/>
              <a:t> Type</a:t>
            </a:r>
            <a:endParaRPr lang="af-Z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f-ZA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524-4B85-9FED-4B9DEA9722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D524-4B85-9FED-4B9DEA9722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524-4B85-9FED-4B9DEA9722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D524-4B85-9FED-4B9DEA97225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Permanent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524-4B85-9FED-4B9DEA97225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524-4B85-9FED-4B9DEA97225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24-4B85-9FED-4B9DEA97225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524-4B85-9FED-4B9DEA9722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Q.5!$E$3:$E$6</c:f>
              <c:numCache>
                <c:formatCode>0%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4-4B85-9FED-4B9DEA972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Understand</a:t>
            </a:r>
            <a:r>
              <a:rPr lang="en-US" b="1" baseline="0"/>
              <a:t> Job Responsibilities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Q.6!$E$2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1D3A-4623-A726-8C1D4F91E3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D3A-4623-A726-8C1D4F91E3DD}"/>
              </c:ext>
            </c:extLst>
          </c:dPt>
          <c:dPt>
            <c:idx val="2"/>
            <c:bubble3D val="0"/>
            <c:explosion val="61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D3A-4623-A726-8C1D4F91E3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1D3A-4623-A726-8C1D4F91E3DD}"/>
              </c:ext>
            </c:extLst>
          </c:dPt>
          <c:dPt>
            <c:idx val="4"/>
            <c:bubble3D val="0"/>
            <c:explosion val="18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D3A-4623-A726-8C1D4F91E3D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3A-4623-A726-8C1D4F91E3D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3A-4623-A726-8C1D4F91E3D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Neutral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D3A-4623-A726-8C1D4F91E3D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Agree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D3A-4623-A726-8C1D4F91E3D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Strongly</a:t>
                    </a:r>
                    <a:r>
                      <a:rPr lang="en-US" baseline="0"/>
                      <a:t> Agree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D3A-4623-A726-8C1D4F91E3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Q.6!$E$3:$E$7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0.38</c:v>
                </c:pt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A-4623-A726-8C1D4F91E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Feel</a:t>
            </a:r>
            <a:r>
              <a:rPr lang="en-US" b="1" baseline="0"/>
              <a:t> Motivated At Work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Q.7!$E$2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C31-4751-A7D8-994B9F1230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C31-4751-A7D8-994B9F1230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C31-4751-A7D8-994B9F1230D8}"/>
              </c:ext>
            </c:extLst>
          </c:dPt>
          <c:dPt>
            <c:idx val="3"/>
            <c:bubble3D val="0"/>
            <c:explosion val="35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EC31-4751-A7D8-994B9F1230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C31-4751-A7D8-994B9F1230D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31-4751-A7D8-994B9F1230D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31-4751-A7D8-994B9F1230D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Neutral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C31-4751-A7D8-994B9F1230D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Agree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C31-4751-A7D8-994B9F1230D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Strongaly</a:t>
                    </a:r>
                    <a:r>
                      <a:rPr lang="en-US" baseline="0"/>
                      <a:t> Agree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EC31-4751-A7D8-994B9F1230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Q.7!$E$3:$E$7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0.06</c:v>
                </c:pt>
                <c:pt idx="3">
                  <c:v>0.34</c:v>
                </c:pt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1-4751-A7D8-994B9F123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Good</a:t>
            </a:r>
            <a:r>
              <a:rPr lang="en-US" baseline="0"/>
              <a:t>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Q.8!$E$2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6AC-40AA-B85A-04B8AF79A0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6AC-40AA-B85A-04B8AF79A0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6AC-40AA-B85A-04B8AF79A06E}"/>
              </c:ext>
            </c:extLst>
          </c:dPt>
          <c:dPt>
            <c:idx val="3"/>
            <c:bubble3D val="0"/>
            <c:explosion val="4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36AC-40AA-B85A-04B8AF79A06E}"/>
              </c:ext>
            </c:extLst>
          </c:dPt>
          <c:dPt>
            <c:idx val="4"/>
            <c:bubble3D val="0"/>
            <c:explosion val="4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6AC-40AA-B85A-04B8AF79A06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AC-40AA-B85A-04B8AF79A06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AC-40AA-B85A-04B8AF79A06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Neutral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6AC-40AA-B85A-04B8AF79A06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Agree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36AC-40AA-B85A-04B8AF79A06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Strongle</a:t>
                    </a:r>
                    <a:r>
                      <a:rPr lang="en-US" baseline="0"/>
                      <a:t> Agree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36AC-40AA-B85A-04B8AF79A0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Q.8!$E$3:$E$7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0.24</c:v>
                </c:pt>
                <c:pt idx="4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C-40AA-B85A-04B8AF79A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mr-IN" sz="1400" b="1" i="0" u="none" strike="noStrike" baseline="0">
                <a:latin typeface="+mj-lt"/>
              </a:rPr>
              <a:t>opportunities for learning &amp; growth</a:t>
            </a:r>
            <a:endParaRPr lang="en-US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Q.9!$E$2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548-41E1-92DE-44C1CA934826}"/>
              </c:ext>
            </c:extLst>
          </c:dPt>
          <c:dPt>
            <c:idx val="1"/>
            <c:bubble3D val="0"/>
            <c:explosion val="52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548-41E1-92DE-44C1CA9348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548-41E1-92DE-44C1CA9348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E548-41E1-92DE-44C1CA9348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548-41E1-92DE-44C1CA93482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48-41E1-92DE-44C1CA9348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Disagree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548-41E1-92DE-44C1CA93482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48-41E1-92DE-44C1CA9348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Agree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548-41E1-92DE-44C1CA9348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Strongly</a:t>
                    </a:r>
                    <a:r>
                      <a:rPr lang="en-US" baseline="0"/>
                      <a:t> Agree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E548-41E1-92DE-44C1CA9348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Q.9!$E$3:$E$7</c:f>
              <c:numCache>
                <c:formatCode>0%</c:formatCode>
                <c:ptCount val="5"/>
                <c:pt idx="0">
                  <c:v>0</c:v>
                </c:pt>
                <c:pt idx="1">
                  <c:v>0.04</c:v>
                </c:pt>
                <c:pt idx="2">
                  <c:v>0</c:v>
                </c:pt>
                <c:pt idx="3">
                  <c:v>0.4</c:v>
                </c:pt>
                <c:pt idx="4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8-41E1-92DE-44C1CA934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mr-IN" sz="1400" b="1" i="0" u="none" strike="noStrike" baseline="0">
                <a:latin typeface="+mj-lt"/>
              </a:rPr>
              <a:t>regular feedback on your performance</a:t>
            </a:r>
            <a:endParaRPr lang="en-US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Q.10!$E$2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9D6-4D98-A4A7-BAABFDDB14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9D6-4D98-A4A7-BAABFDDB14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F9D6-4D98-A4A7-BAABFDDB14E8}"/>
              </c:ext>
            </c:extLst>
          </c:dPt>
          <c:dPt>
            <c:idx val="3"/>
            <c:bubble3D val="0"/>
            <c:explosion val="28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F9D6-4D98-A4A7-BAABFDDB14E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9D6-4D98-A4A7-BAABFDDB14E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D6-4D98-A4A7-BAABFDDB14E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Disagree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9D6-4D98-A4A7-BAABFDDB14E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D6-4D98-A4A7-BAABFDDB14E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Agree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9D6-4D98-A4A7-BAABFDDB14E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Strongaly</a:t>
                    </a:r>
                    <a:r>
                      <a:rPr lang="en-US" baseline="0"/>
                      <a:t> Agree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F9D6-4D98-A4A7-BAABFDDB14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Q.10!$E$3:$E$7</c:f>
              <c:numCache>
                <c:formatCode>0%</c:formatCode>
                <c:ptCount val="5"/>
                <c:pt idx="0">
                  <c:v>0</c:v>
                </c:pt>
                <c:pt idx="1">
                  <c:v>0.04</c:v>
                </c:pt>
                <c:pt idx="2">
                  <c:v>0</c:v>
                </c:pt>
                <c:pt idx="3">
                  <c:v>0.4</c:v>
                </c:pt>
                <c:pt idx="4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6-4D98-A4A7-BAABFDDB1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mr-IN" sz="1400" b="1" i="0" u="none" strike="noStrike" baseline="0"/>
              <a:t>maintain high-quality work under pressure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Q.11!$E$2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explosion val="39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7E2-4575-AA76-A681A2385352}"/>
              </c:ext>
            </c:extLst>
          </c:dPt>
          <c:dPt>
            <c:idx val="1"/>
            <c:bubble3D val="0"/>
            <c:explosion val="65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67E2-4575-AA76-A681A2385352}"/>
              </c:ext>
            </c:extLst>
          </c:dPt>
          <c:dPt>
            <c:idx val="2"/>
            <c:bubble3D val="0"/>
            <c:explosion val="88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7E2-4575-AA76-A681A23853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67E2-4575-AA76-A681A23853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7E2-4575-AA76-A681A238535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Strongaly</a:t>
                    </a:r>
                    <a:r>
                      <a:rPr lang="en-US" baseline="0"/>
                      <a:t> Disagree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7E2-4575-AA76-A681A238535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Disagree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7E2-4575-AA76-A681A238535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Neutral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7E2-4575-AA76-A681A238535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Agree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7E2-4575-AA76-A681A238535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Strongly</a:t>
                    </a:r>
                    <a:r>
                      <a:rPr lang="en-US" baseline="0"/>
                      <a:t> Agree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7E2-4575-AA76-A681A23853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Q.11!$E$3:$E$7</c:f>
              <c:numCache>
                <c:formatCode>0%</c:formatCode>
                <c:ptCount val="5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0.5</c:v>
                </c:pt>
                <c:pt idx="4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2-4575-AA76-A681A2385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</a:t>
            </a:r>
            <a:r>
              <a:rPr lang="mr-IN" sz="1400" b="1" i="0" u="none" strike="noStrike" baseline="0"/>
              <a:t>ake extra responsibility when needed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Q.12!$E$2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D65-443E-9469-DD4FBB77D1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5D65-443E-9469-DD4FBB77D13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Yes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D65-443E-9469-DD4FBB77D13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No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D65-443E-9469-DD4FBB77D1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Q.12!$E$3:$E$4</c:f>
              <c:numCache>
                <c:formatCode>0%</c:formatCode>
                <c:ptCount val="2"/>
                <c:pt idx="0">
                  <c:v>0.86</c:v>
                </c:pt>
                <c:pt idx="1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5-443E-9469-DD4FBB77D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mr-IN" sz="1400" b="1" i="0" u="none" strike="noStrike" baseline="0">
                <a:latin typeface="+mj-lt"/>
              </a:rPr>
              <a:t>work productivity improved over the past year</a:t>
            </a:r>
            <a:endParaRPr lang="en-US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Q.13!$E$2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4F-451C-9B3D-382136BDA0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154F-451C-9B3D-382136BDA0F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Yes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54F-451C-9B3D-382136BDA0F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No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54F-451C-9B3D-382136BDA0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Q.13!$E$3:$E$4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F-451C-9B3D-382136BDA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+mj-lt"/>
              </a:rPr>
              <a:t>E</a:t>
            </a:r>
            <a:r>
              <a:rPr lang="mr-IN" sz="1400" b="1" i="0" u="none" strike="noStrike" baseline="0">
                <a:latin typeface="+mj-lt"/>
              </a:rPr>
              <a:t>mployee engagement positively affects productivity</a:t>
            </a:r>
            <a:endParaRPr lang="en-US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Q.14!$E$2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768-4317-8C32-65CD9B9080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D768-4317-8C32-65CD9B90801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Yes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768-4317-8C32-65CD9B90801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No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768-4317-8C32-65CD9B9080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Q.14!$E$3:$E$4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8-4317-8C32-65CD9B908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mr-IN" sz="1400" b="1" i="0" u="none" strike="noStrike" baseline="0">
                <a:latin typeface="+mj-lt"/>
              </a:rPr>
              <a:t>improve employee performance</a:t>
            </a:r>
            <a:endParaRPr lang="en-US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333333333333333E-2"/>
          <c:y val="0.18097222222222226"/>
          <c:w val="0.93888888888888888"/>
          <c:h val="0.6714577865266842"/>
        </c:manualLayout>
      </c:layout>
      <c:pie3DChart>
        <c:varyColors val="1"/>
        <c:ser>
          <c:idx val="0"/>
          <c:order val="0"/>
          <c:tx>
            <c:strRef>
              <c:f>Q.15!$E$2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1C-4D97-BFB7-F8331F43B5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81C-4D97-BFB7-F8331F43B59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Yes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481C-4D97-BFB7-F8331F43B59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No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81C-4D97-BFB7-F8331F43B5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Q.15!$E$3:$E$4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C-4D97-BFB7-F8331F43B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+mj-lt"/>
              </a:rPr>
              <a:t>T</a:t>
            </a:r>
            <a:r>
              <a:rPr lang="mr-IN" sz="1400" b="1" i="0" u="none" strike="noStrike" baseline="0">
                <a:latin typeface="+mj-lt"/>
              </a:rPr>
              <a:t>raining and development programs improve employee efficiency</a:t>
            </a:r>
            <a:endParaRPr lang="en-US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Q.16!$E$2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4B3-4235-B237-4854567FB7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4B3-4235-B237-4854567FB7E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Yes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4B3-4235-B237-4854567FB7E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No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34B3-4235-B237-4854567FB7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Q.16!$E$3:$E$4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3-4235-B237-4854567FB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+mj-lt"/>
              </a:rPr>
              <a:t>E</a:t>
            </a:r>
            <a:r>
              <a:rPr lang="mr-IN" sz="1400" b="1" i="0" u="none" strike="noStrike" baseline="0">
                <a:latin typeface="+mj-lt"/>
              </a:rPr>
              <a:t>mployee engagement reduces absenteeism &amp; turnover</a:t>
            </a:r>
            <a:endParaRPr lang="en-US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Q.17!$E$2</c:f>
              <c:strCache>
                <c:ptCount val="1"/>
                <c:pt idx="0">
                  <c:v>Percentage</c:v>
                </c:pt>
              </c:strCache>
            </c:strRef>
          </c:tx>
          <c:explosion val="33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E4F-4EF8-B8BE-5830C6DDED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E4F-4EF8-B8BE-5830C6DDED8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Yes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CE4F-4EF8-B8BE-5830C6DDED8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No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CE4F-4EF8-B8BE-5830C6DDED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Q.17!$E$3:$E$4</c:f>
              <c:numCache>
                <c:formatCode>0%</c:formatCode>
                <c:ptCount val="2"/>
                <c:pt idx="0">
                  <c:v>0.94</c:v>
                </c:pt>
                <c:pt idx="1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F-4EF8-B8BE-5830C6DDE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+mj-lt"/>
              </a:rPr>
              <a:t>M</a:t>
            </a:r>
            <a:r>
              <a:rPr lang="mr-IN" sz="1400" b="1" i="0" u="none" strike="noStrike" baseline="0">
                <a:latin typeface="+mj-lt"/>
              </a:rPr>
              <a:t>ost engaged and motivated</a:t>
            </a:r>
            <a:r>
              <a:rPr lang="en-US" sz="1400" b="1" i="0" u="none" strike="noStrike" baseline="0">
                <a:latin typeface="+mj-lt"/>
              </a:rPr>
              <a:t> factor</a:t>
            </a:r>
            <a:endParaRPr lang="en-US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Q.18!$E$2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DCC2-45CC-BE56-50ED8F00BF0D}"/>
              </c:ext>
            </c:extLst>
          </c:dPt>
          <c:dPt>
            <c:idx val="1"/>
            <c:bubble3D val="0"/>
            <c:explosion val="29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C2-45CC-BE56-50ED8F00BF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DCC2-45CC-BE56-50ED8F00BF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C2-45CC-BE56-50ED8F00BF0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Recognition and rewards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CC2-45CC-BE56-50ED8F00BF0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Training and development opportunities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CC2-45CC-BE56-50ED8F00BF0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Supportive work environment and teamwork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DCC2-45CC-BE56-50ED8F00BF0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C2-45CC-BE56-50ED8F00BF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Q.18!$E$3:$E$6</c:f>
              <c:numCache>
                <c:formatCode>0%</c:formatCode>
                <c:ptCount val="4"/>
                <c:pt idx="0">
                  <c:v>0.22</c:v>
                </c:pt>
                <c:pt idx="1">
                  <c:v>0.38</c:v>
                </c:pt>
                <c:pt idx="2">
                  <c:v>0.4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2-45CC-BE56-50ED8F00B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+mj-lt"/>
              </a:rPr>
              <a:t>T</a:t>
            </a:r>
            <a:r>
              <a:rPr lang="mr-IN" sz="1400" b="1" i="0" u="none" strike="noStrike" baseline="0">
                <a:latin typeface="+mj-lt"/>
              </a:rPr>
              <a:t>he organization take to improve employee engagemen</a:t>
            </a:r>
            <a:r>
              <a:rPr lang="en-US" sz="1400" b="1" i="0" u="none" strike="noStrike" baseline="0">
                <a:latin typeface="+mj-lt"/>
              </a:rPr>
              <a:t>t</a:t>
            </a:r>
            <a:endParaRPr lang="af-ZA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af-ZA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854140690823997E-2"/>
          <c:y val="0.15593202099737533"/>
          <c:w val="0.82981646702664935"/>
          <c:h val="0.65885223097112866"/>
        </c:manualLayout>
      </c:layout>
      <c:pie3DChart>
        <c:varyColors val="1"/>
        <c:ser>
          <c:idx val="0"/>
          <c:order val="0"/>
          <c:tx>
            <c:strRef>
              <c:f>Q.19!$E$2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CF6-4D40-9FB0-D01BD84E6E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BCF6-4D40-9FB0-D01BD84E6EC9}"/>
              </c:ext>
            </c:extLst>
          </c:dPt>
          <c:dPt>
            <c:idx val="2"/>
            <c:bubble3D val="0"/>
            <c:explosion val="6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CF6-4D40-9FB0-D01BD84E6EC9}"/>
              </c:ext>
            </c:extLst>
          </c:dPt>
          <c:dPt>
            <c:idx val="3"/>
            <c:bubble3D val="0"/>
            <c:explosion val="19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BCF6-4D40-9FB0-D01BD84E6EC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Encourage employees to share ideas for process improvement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CF6-4D40-9FB0-D01BD84E6E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Conduct employee satisfaction surveys regularly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CF6-4D40-9FB0-D01BD84E6E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Effective implementation of 5S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CF6-4D40-9FB0-D01BD84E6E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Active participation in DSI (Daily Small Improvement)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CF6-4D40-9FB0-D01BD84E6E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Q.19!$E$3:$E$6</c:f>
              <c:numCache>
                <c:formatCode>0%</c:formatCode>
                <c:ptCount val="4"/>
                <c:pt idx="0">
                  <c:v>0.18</c:v>
                </c:pt>
                <c:pt idx="1">
                  <c:v>0.3</c:v>
                </c:pt>
                <c:pt idx="2">
                  <c:v>0.1</c:v>
                </c:pt>
                <c:pt idx="3">
                  <c:v>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6-4D40-9FB0-D01BD84E6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+mj-lt"/>
              </a:rPr>
              <a:t>B</a:t>
            </a:r>
            <a:r>
              <a:rPr lang="mr-IN" sz="1400" b="1" i="0" u="none" strike="noStrike" baseline="0">
                <a:latin typeface="+mj-lt"/>
              </a:rPr>
              <a:t>arriers reduce your productivity at work</a:t>
            </a:r>
            <a:endParaRPr lang="en-US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Q.20!$E$2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343-4F29-9AFB-F1AAFCF9D9F9}"/>
              </c:ext>
            </c:extLst>
          </c:dPt>
          <c:dPt>
            <c:idx val="1"/>
            <c:bubble3D val="0"/>
            <c:explosion val="65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A343-4F29-9AFB-F1AAFCF9D9F9}"/>
              </c:ext>
            </c:extLst>
          </c:dPt>
          <c:dPt>
            <c:idx val="2"/>
            <c:bubble3D val="0"/>
            <c:explosion val="2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343-4F29-9AFB-F1AAFCF9D9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A343-4F29-9AFB-F1AAFCF9D9F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Personal mobile phone usage during working hours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343-4F29-9AFB-F1AAFCF9D9F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Time wasted searching for tools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343-4F29-9AFB-F1AAFCF9D9F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Stress and fatigue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343-4F29-9AFB-F1AAFCF9D9F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Absenteeism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343-4F29-9AFB-F1AAFCF9D9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Q.20!$E$3:$E$6</c:f>
              <c:numCache>
                <c:formatCode>0%</c:formatCode>
                <c:ptCount val="4"/>
                <c:pt idx="0">
                  <c:v>0.38</c:v>
                </c:pt>
                <c:pt idx="1">
                  <c:v>0.26</c:v>
                </c:pt>
                <c:pt idx="2">
                  <c:v>0.3</c:v>
                </c:pt>
                <c:pt idx="3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3-4F29-9AFB-F1AAFCF9D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+mj-lt"/>
              </a:rPr>
              <a:t>R</a:t>
            </a:r>
            <a:r>
              <a:rPr lang="mr-IN" sz="1400" b="1" i="0" u="none" strike="noStrike" baseline="0">
                <a:latin typeface="+mj-lt"/>
              </a:rPr>
              <a:t>ecognition &amp; rewards motivate you the most</a:t>
            </a:r>
            <a:endParaRPr lang="en-US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Q.21!$E$2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2BB-448F-8086-B4800A3AF360}"/>
              </c:ext>
            </c:extLst>
          </c:dPt>
          <c:dPt>
            <c:idx val="1"/>
            <c:bubble3D val="0"/>
            <c:explosion val="2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2BB-448F-8086-B4800A3AF360}"/>
              </c:ext>
            </c:extLst>
          </c:dPt>
          <c:dPt>
            <c:idx val="2"/>
            <c:bubble3D val="0"/>
            <c:explosion val="33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2BB-448F-8086-B4800A3AF3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72BB-448F-8086-B4800A3AF36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Employee of the Month award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2BB-448F-8086-B4800A3AF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Appreciation from the supervisor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2BB-448F-8086-B4800A3AF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Promotion &amp; career advancement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2BB-448F-8086-B4800A3AF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Salary increment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2BB-448F-8086-B4800A3AF3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Q.21!$E$3:$E$6</c:f>
              <c:numCache>
                <c:formatCode>0%</c:formatCode>
                <c:ptCount val="4"/>
                <c:pt idx="0">
                  <c:v>0.3</c:v>
                </c:pt>
                <c:pt idx="1">
                  <c:v>0.32</c:v>
                </c:pt>
                <c:pt idx="2">
                  <c:v>0.34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B-448F-8086-B4800A3AF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+mj-lt"/>
              </a:rPr>
              <a:t>C</a:t>
            </a:r>
            <a:r>
              <a:rPr lang="mr-IN" sz="1400" b="1" i="0" u="none" strike="noStrike" baseline="0">
                <a:latin typeface="+mj-lt"/>
              </a:rPr>
              <a:t>hange to improve both employee engagement &amp; productivity,</a:t>
            </a:r>
            <a:endParaRPr lang="en-US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Q.22!$E$2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C41-4B8D-8CF4-2C1DC5AC3F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1C41-4B8D-8CF4-2C1DC5AC3F1D}"/>
              </c:ext>
            </c:extLst>
          </c:dPt>
          <c:dPt>
            <c:idx val="2"/>
            <c:bubble3D val="0"/>
            <c:explosion val="42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C41-4B8D-8CF4-2C1DC5AC3F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1C41-4B8D-8CF4-2C1DC5AC3F1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Reduce idle time during production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C41-4B8D-8CF4-2C1DC5AC3F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Conduct employee feedback &amp; suggestion program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C41-4B8D-8CF4-2C1DC5AC3F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Strengthen the existing DSI program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C41-4B8D-8CF4-2C1DC5AC3F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Increase employee participation in decision-making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C41-4B8D-8CF4-2C1DC5AC3F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Q.22!$E$3:$E$6</c:f>
              <c:numCache>
                <c:formatCode>0%</c:formatCode>
                <c:ptCount val="4"/>
                <c:pt idx="0">
                  <c:v>0.3</c:v>
                </c:pt>
                <c:pt idx="1">
                  <c:v>0.08</c:v>
                </c:pt>
                <c:pt idx="2">
                  <c:v>0.34</c:v>
                </c:pt>
                <c:pt idx="3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1-4B8D-8CF4-2C1DC5AC3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1458634444467109E-2"/>
          <c:y val="0.23696244031228519"/>
          <c:w val="0.82592058324860651"/>
          <c:h val="0.57752386154003421"/>
        </c:manualLayout>
      </c:layout>
      <c:pie3DChart>
        <c:varyColors val="1"/>
        <c:ser>
          <c:idx val="0"/>
          <c:order val="0"/>
          <c:tx>
            <c:strRef>
              <c:f>Q.1!$B$3</c:f>
              <c:strCache>
                <c:ptCount val="1"/>
                <c:pt idx="0">
                  <c:v>1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6B4-4447-B30E-CD8A047998F4}"/>
              </c:ext>
            </c:extLst>
          </c:dPt>
          <c:dPt>
            <c:idx val="1"/>
            <c:bubble3D val="0"/>
            <c:explosion val="3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6B4-4447-B30E-CD8A047998F4}"/>
              </c:ext>
            </c:extLst>
          </c:dPt>
          <c:dPt>
            <c:idx val="2"/>
            <c:bubble3D val="0"/>
            <c:explosion val="26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6B4-4447-B30E-CD8A047998F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B4-4447-B30E-CD8A047998F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="1"/>
                      <a:t>Male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6B4-4447-B30E-CD8A047998F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b="1"/>
                      <a:t>Female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26B4-4447-B30E-CD8A047998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Q.1!$C$2:$E$2</c:f>
              <c:strCache>
                <c:ptCount val="3"/>
                <c:pt idx="0">
                  <c:v>Gender</c:v>
                </c:pt>
                <c:pt idx="1">
                  <c:v>No Of Respondant</c:v>
                </c:pt>
                <c:pt idx="2">
                  <c:v>Percentage</c:v>
                </c:pt>
              </c:strCache>
            </c:strRef>
          </c:cat>
          <c:val>
            <c:numRef>
              <c:f>Q.1!$C$3:$E$3</c:f>
              <c:numCache>
                <c:formatCode>General</c:formatCode>
                <c:ptCount val="3"/>
                <c:pt idx="0">
                  <c:v>0</c:v>
                </c:pt>
                <c:pt idx="1">
                  <c:v>31</c:v>
                </c:pt>
                <c:pt idx="2" formatCode="0%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B4-4447-B30E-CD8A047998F4}"/>
            </c:ext>
          </c:extLst>
        </c:ser>
        <c:ser>
          <c:idx val="1"/>
          <c:order val="1"/>
          <c:tx>
            <c:strRef>
              <c:f>Q.1!$B$4</c:f>
              <c:strCache>
                <c:ptCount val="1"/>
                <c:pt idx="0">
                  <c:v>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26B4-4447-B30E-CD8A047998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26B4-4447-B30E-CD8A047998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26B4-4447-B30E-CD8A047998F4}"/>
              </c:ext>
            </c:extLst>
          </c:dPt>
          <c:cat>
            <c:strRef>
              <c:f>Q.1!$C$2:$E$2</c:f>
              <c:strCache>
                <c:ptCount val="3"/>
                <c:pt idx="0">
                  <c:v>Gender</c:v>
                </c:pt>
                <c:pt idx="1">
                  <c:v>No Of Respondant</c:v>
                </c:pt>
                <c:pt idx="2">
                  <c:v>Percentage</c:v>
                </c:pt>
              </c:strCache>
            </c:strRef>
          </c:cat>
          <c:val>
            <c:numRef>
              <c:f>Q.1!$C$4:$E$4</c:f>
              <c:numCache>
                <c:formatCode>General</c:formatCode>
                <c:ptCount val="3"/>
                <c:pt idx="0">
                  <c:v>0</c:v>
                </c:pt>
                <c:pt idx="1">
                  <c:v>19</c:v>
                </c:pt>
                <c:pt idx="2" formatCode="0%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6B4-4447-B30E-CD8A047998F4}"/>
            </c:ext>
          </c:extLst>
        </c:ser>
        <c:ser>
          <c:idx val="2"/>
          <c:order val="2"/>
          <c:tx>
            <c:strRef>
              <c:f>Q.1!$B$5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6B4-4447-B30E-CD8A047998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6B4-4447-B30E-CD8A047998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6B4-4447-B30E-CD8A047998F4}"/>
              </c:ext>
            </c:extLst>
          </c:dPt>
          <c:cat>
            <c:strRef>
              <c:f>Q.1!$C$2:$E$2</c:f>
              <c:strCache>
                <c:ptCount val="3"/>
                <c:pt idx="0">
                  <c:v>Gender</c:v>
                </c:pt>
                <c:pt idx="1">
                  <c:v>No Of Respondant</c:v>
                </c:pt>
                <c:pt idx="2">
                  <c:v>Percentage</c:v>
                </c:pt>
              </c:strCache>
            </c:strRef>
          </c:cat>
          <c:val>
            <c:numRef>
              <c:f>Q.1!$C$5:$E$5</c:f>
              <c:numCache>
                <c:formatCode>General</c:formatCode>
                <c:ptCount val="3"/>
                <c:pt idx="1">
                  <c:v>50</c:v>
                </c:pt>
                <c:pt idx="2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6B4-4447-B30E-CD8A04799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f-ZA" b="1"/>
              <a:t>Employment</a:t>
            </a:r>
            <a:r>
              <a:rPr lang="af-ZA" b="1" baseline="0"/>
              <a:t> Type</a:t>
            </a:r>
            <a:endParaRPr lang="af-Z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f-ZA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477-4751-8002-E38A6777B0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477-4751-8002-E38A6777B0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477-4751-8002-E38A6777B0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477-4751-8002-E38A6777B0A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Permanent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477-4751-8002-E38A6777B0A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77-4751-8002-E38A6777B0A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77-4751-8002-E38A6777B0A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77-4751-8002-E38A6777B0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Q.5!$E$3:$E$6</c:f>
              <c:numCache>
                <c:formatCode>0%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77-4751-8002-E38A6777B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Year</a:t>
            </a:r>
            <a:r>
              <a:rPr lang="en-US" b="1" baseline="0"/>
              <a:t> Of Experience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Q.4!$E$2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772-47A0-AE44-1B5552C793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772-47A0-AE44-1B5552C793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772-47A0-AE44-1B5552C793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772-47A0-AE44-1B5552C79324}"/>
              </c:ext>
            </c:extLst>
          </c:dPt>
          <c:dPt>
            <c:idx val="4"/>
            <c:bubble3D val="0"/>
            <c:explosion val="34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772-47A0-AE44-1B5552C7932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Less</a:t>
                    </a:r>
                    <a:r>
                      <a:rPr lang="en-US" baseline="0"/>
                      <a:t> than 1 year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772-47A0-AE44-1B5552C7932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  <a:r>
                      <a:rPr lang="en-US" baseline="0"/>
                      <a:t> - 3 year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772-47A0-AE44-1B5552C7932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4</a:t>
                    </a:r>
                    <a:r>
                      <a:rPr lang="en-US" baseline="0"/>
                      <a:t> - 6 year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772-47A0-AE44-1B5552C7932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7</a:t>
                    </a:r>
                    <a:r>
                      <a:rPr lang="en-US" baseline="0"/>
                      <a:t> - 10 year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772-47A0-AE44-1B5552C7932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More</a:t>
                    </a:r>
                    <a:r>
                      <a:rPr lang="en-US" baseline="0"/>
                      <a:t> than 10 year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772-47A0-AE44-1B5552C793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Q.4!$E$3:$E$7</c:f>
              <c:numCache>
                <c:formatCode>0%</c:formatCode>
                <c:ptCount val="5"/>
                <c:pt idx="0">
                  <c:v>0.14000000000000001</c:v>
                </c:pt>
                <c:pt idx="1">
                  <c:v>0.26</c:v>
                </c:pt>
                <c:pt idx="2">
                  <c:v>0.22</c:v>
                </c:pt>
                <c:pt idx="3">
                  <c:v>0.14000000000000001</c:v>
                </c:pt>
                <c:pt idx="4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72-47A0-AE44-1B5552C79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Understand</a:t>
            </a:r>
            <a:r>
              <a:rPr lang="en-US" b="1" baseline="0"/>
              <a:t> Job Responsibilities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Q.6!$E$2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84B-439F-BFE1-F5F6CD4828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84B-439F-BFE1-F5F6CD482847}"/>
              </c:ext>
            </c:extLst>
          </c:dPt>
          <c:dPt>
            <c:idx val="2"/>
            <c:bubble3D val="0"/>
            <c:explosion val="61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84B-439F-BFE1-F5F6CD4828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84B-439F-BFE1-F5F6CD482847}"/>
              </c:ext>
            </c:extLst>
          </c:dPt>
          <c:dPt>
            <c:idx val="4"/>
            <c:bubble3D val="0"/>
            <c:explosion val="18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84B-439F-BFE1-F5F6CD48284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4B-439F-BFE1-F5F6CD48284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4B-439F-BFE1-F5F6CD48284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Neutral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84B-439F-BFE1-F5F6CD48284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Agree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84B-439F-BFE1-F5F6CD48284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Strongly</a:t>
                    </a:r>
                    <a:r>
                      <a:rPr lang="en-US" baseline="0"/>
                      <a:t> Agree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84B-439F-BFE1-F5F6CD4828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Q.6!$E$3:$E$7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0.38</c:v>
                </c:pt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84B-439F-BFE1-F5F6CD482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Feel</a:t>
            </a:r>
            <a:r>
              <a:rPr lang="en-US" b="1" baseline="0"/>
              <a:t> Motivated At Work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Q.7!$E$2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E1C-4340-9EA1-40ECDA9205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E1C-4340-9EA1-40ECDA9205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E1C-4340-9EA1-40ECDA92050A}"/>
              </c:ext>
            </c:extLst>
          </c:dPt>
          <c:dPt>
            <c:idx val="3"/>
            <c:bubble3D val="0"/>
            <c:explosion val="35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E1C-4340-9EA1-40ECDA9205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E1C-4340-9EA1-40ECDA92050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1C-4340-9EA1-40ECDA92050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1C-4340-9EA1-40ECDA92050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Neutral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2E1C-4340-9EA1-40ECDA92050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Agree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2E1C-4340-9EA1-40ECDA92050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Strongaly</a:t>
                    </a:r>
                    <a:r>
                      <a:rPr lang="en-US" baseline="0"/>
                      <a:t> Agree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E1C-4340-9EA1-40ECDA9205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Q.7!$E$3:$E$7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0.06</c:v>
                </c:pt>
                <c:pt idx="3">
                  <c:v>0.34</c:v>
                </c:pt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1C-4340-9EA1-40ECDA920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sz="1400" b="1" i="0" u="none" strike="noStrike" baseline="0">
                <a:latin typeface="+mj-lt"/>
              </a:rPr>
              <a:t>To</a:t>
            </a:r>
            <a:r>
              <a:rPr lang="mr-IN" sz="1400" b="1" i="0" u="none" strike="noStrike" baseline="0">
                <a:latin typeface="+mj-lt"/>
              </a:rPr>
              <a:t> improve employee engagemen</a:t>
            </a:r>
            <a:r>
              <a:rPr lang="en-US" sz="1400" b="1" i="0" u="none" strike="noStrike" baseline="0">
                <a:latin typeface="+mj-lt"/>
              </a:rPr>
              <a:t>t</a:t>
            </a:r>
            <a:endParaRPr lang="af-ZA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af-ZA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854140690823997E-2"/>
          <c:y val="0.15593202099737533"/>
          <c:w val="0.82981646702664935"/>
          <c:h val="0.65885223097112866"/>
        </c:manualLayout>
      </c:layout>
      <c:pie3DChart>
        <c:varyColors val="1"/>
        <c:ser>
          <c:idx val="0"/>
          <c:order val="0"/>
          <c:tx>
            <c:strRef>
              <c:f>Q.19!$E$2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958-4C83-8633-7CDE0D530F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958-4C83-8633-7CDE0D530F6E}"/>
              </c:ext>
            </c:extLst>
          </c:dPt>
          <c:dPt>
            <c:idx val="2"/>
            <c:bubble3D val="0"/>
            <c:explosion val="6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958-4C83-8633-7CDE0D530F6E}"/>
              </c:ext>
            </c:extLst>
          </c:dPt>
          <c:dPt>
            <c:idx val="3"/>
            <c:bubble3D val="0"/>
            <c:explosion val="19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958-4C83-8633-7CDE0D530F6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Encourage employees to share ideas for process improvement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958-4C83-8633-7CDE0D530F6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Conduct employee satisfaction surveys regularly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958-4C83-8633-7CDE0D530F6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Effective implementation of 5S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958-4C83-8633-7CDE0D530F6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900" b="0" i="0" u="none" strike="noStrike" baseline="0"/>
                      <a:t>Active participation in DSI (Daily Small Improvement)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958-4C83-8633-7CDE0D530F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mr-I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Q.19!$E$3:$E$6</c:f>
              <c:numCache>
                <c:formatCode>0%</c:formatCode>
                <c:ptCount val="4"/>
                <c:pt idx="0">
                  <c:v>0.18</c:v>
                </c:pt>
                <c:pt idx="1">
                  <c:v>0.3</c:v>
                </c:pt>
                <c:pt idx="2">
                  <c:v>0.1</c:v>
                </c:pt>
                <c:pt idx="3">
                  <c:v>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58-4C83-8633-7CDE0D530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316230</xdr:colOff>
      <xdr:row>1</xdr:row>
      <xdr:rowOff>162675</xdr:rowOff>
    </xdr:from>
    <xdr:to>
      <xdr:col>19</xdr:col>
      <xdr:colOff>642135</xdr:colOff>
      <xdr:row>15</xdr:row>
      <xdr:rowOff>265417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B5E8AE-3203-3820-DE86-D07291BDC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647700</xdr:colOff>
      <xdr:row>2</xdr:row>
      <xdr:rowOff>228600</xdr:rowOff>
    </xdr:from>
    <xdr:to>
      <xdr:col>17</xdr:col>
      <xdr:colOff>190500</xdr:colOff>
      <xdr:row>14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BE505F-40DD-03FD-C768-A57479920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213360</xdr:colOff>
      <xdr:row>1</xdr:row>
      <xdr:rowOff>175260</xdr:rowOff>
    </xdr:from>
    <xdr:to>
      <xdr:col>17</xdr:col>
      <xdr:colOff>480060</xdr:colOff>
      <xdr:row>13</xdr:row>
      <xdr:rowOff>243840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5E1058-9ED1-E4B0-6CDD-81683C8D7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350520</xdr:colOff>
      <xdr:row>1</xdr:row>
      <xdr:rowOff>213360</xdr:rowOff>
    </xdr:from>
    <xdr:to>
      <xdr:col>17</xdr:col>
      <xdr:colOff>449580</xdr:colOff>
      <xdr:row>14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A753AD-D9C3-3A90-C62B-9051F9A63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198120</xdr:colOff>
      <xdr:row>1</xdr:row>
      <xdr:rowOff>129540</xdr:rowOff>
    </xdr:from>
    <xdr:to>
      <xdr:col>17</xdr:col>
      <xdr:colOff>533400</xdr:colOff>
      <xdr:row>14</xdr:row>
      <xdr:rowOff>205740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EF3E86-8AC5-C92A-BA24-68888F5D9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335280</xdr:colOff>
      <xdr:row>2</xdr:row>
      <xdr:rowOff>60960</xdr:rowOff>
    </xdr:from>
    <xdr:to>
      <xdr:col>16</xdr:col>
      <xdr:colOff>640080</xdr:colOff>
      <xdr:row>13</xdr:row>
      <xdr:rowOff>243840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2F5DA9-E3B6-4D5B-3DE2-726ACED2C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525780</xdr:colOff>
      <xdr:row>2</xdr:row>
      <xdr:rowOff>190500</xdr:rowOff>
    </xdr:from>
    <xdr:to>
      <xdr:col>17</xdr:col>
      <xdr:colOff>266700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7F9E59-6E20-9623-C56C-C2F9627F2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464820</xdr:colOff>
      <xdr:row>2</xdr:row>
      <xdr:rowOff>38100</xdr:rowOff>
    </xdr:from>
    <xdr:to>
      <xdr:col>16</xdr:col>
      <xdr:colOff>381000</xdr:colOff>
      <xdr:row>12</xdr:row>
      <xdr:rowOff>232410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1153D1-92E3-0CDE-5BB3-9D36420D2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430530</xdr:colOff>
      <xdr:row>1</xdr:row>
      <xdr:rowOff>289560</xdr:rowOff>
    </xdr:from>
    <xdr:to>
      <xdr:col>16</xdr:col>
      <xdr:colOff>541020</xdr:colOff>
      <xdr:row>14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CA7D48-3278-9714-BAD5-7BFA0B3B0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491490</xdr:colOff>
      <xdr:row>1</xdr:row>
      <xdr:rowOff>266700</xdr:rowOff>
    </xdr:from>
    <xdr:to>
      <xdr:col>17</xdr:col>
      <xdr:colOff>548640</xdr:colOff>
      <xdr:row>14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B233DC-3E66-518B-36C2-4C0F61425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430530</xdr:colOff>
      <xdr:row>2</xdr:row>
      <xdr:rowOff>76200</xdr:rowOff>
    </xdr:from>
    <xdr:to>
      <xdr:col>17</xdr:col>
      <xdr:colOff>15240</xdr:colOff>
      <xdr:row>14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2F03DF-73C6-1651-1276-F6A638DC9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1</xdr:row>
      <xdr:rowOff>297180</xdr:rowOff>
    </xdr:from>
    <xdr:to>
      <xdr:col>16</xdr:col>
      <xdr:colOff>449580</xdr:colOff>
      <xdr:row>13</xdr:row>
      <xdr:rowOff>243840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CCCC03-8A8F-D8D4-A46F-0359C2F20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567690</xdr:colOff>
      <xdr:row>2</xdr:row>
      <xdr:rowOff>243840</xdr:rowOff>
    </xdr:from>
    <xdr:to>
      <xdr:col>16</xdr:col>
      <xdr:colOff>411480</xdr:colOff>
      <xdr:row>13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191230-DD76-BCD0-5A98-6CE5A6C91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1</xdr:row>
      <xdr:rowOff>281940</xdr:rowOff>
    </xdr:from>
    <xdr:to>
      <xdr:col>16</xdr:col>
      <xdr:colOff>434340</xdr:colOff>
      <xdr:row>13</xdr:row>
      <xdr:rowOff>213360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DE36BC-6BB6-8C3F-EB32-0963467BE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320040</xdr:colOff>
      <xdr:row>2</xdr:row>
      <xdr:rowOff>160020</xdr:rowOff>
    </xdr:from>
    <xdr:to>
      <xdr:col>16</xdr:col>
      <xdr:colOff>304800</xdr:colOff>
      <xdr:row>13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507A14-F60D-66E7-AF1C-9C089E5D3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655320</xdr:colOff>
      <xdr:row>2</xdr:row>
      <xdr:rowOff>205740</xdr:rowOff>
    </xdr:from>
    <xdr:to>
      <xdr:col>16</xdr:col>
      <xdr:colOff>266700</xdr:colOff>
      <xdr:row>13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B57525-7F5F-5D26-1CB6-94F15CDAB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</xdr:colOff>
      <xdr:row>1</xdr:row>
      <xdr:rowOff>274320</xdr:rowOff>
    </xdr:from>
    <xdr:to>
      <xdr:col>17</xdr:col>
      <xdr:colOff>114300</xdr:colOff>
      <xdr:row>13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6D3C5-5413-B95E-9E92-A94A494F4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598170</xdr:colOff>
      <xdr:row>1</xdr:row>
      <xdr:rowOff>167640</xdr:rowOff>
    </xdr:from>
    <xdr:to>
      <xdr:col>15</xdr:col>
      <xdr:colOff>640080</xdr:colOff>
      <xdr:row>14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53B8CF-17F0-6287-D7DB-9E5246A8F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1</xdr:row>
      <xdr:rowOff>243840</xdr:rowOff>
    </xdr:from>
    <xdr:to>
      <xdr:col>16</xdr:col>
      <xdr:colOff>251460</xdr:colOff>
      <xdr:row>14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9B7694-338A-7022-91DB-B2C9C9157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118110</xdr:colOff>
      <xdr:row>1</xdr:row>
      <xdr:rowOff>198120</xdr:rowOff>
    </xdr:from>
    <xdr:to>
      <xdr:col>16</xdr:col>
      <xdr:colOff>365760</xdr:colOff>
      <xdr:row>14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274BD5-A7AD-61E4-E9F2-A45AC8187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2</xdr:row>
      <xdr:rowOff>7620</xdr:rowOff>
    </xdr:from>
    <xdr:to>
      <xdr:col>17</xdr:col>
      <xdr:colOff>289560</xdr:colOff>
      <xdr:row>14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45FED6-8464-88B8-80E6-FCC2360B8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1</xdr:row>
      <xdr:rowOff>190500</xdr:rowOff>
    </xdr:from>
    <xdr:to>
      <xdr:col>16</xdr:col>
      <xdr:colOff>548640</xdr:colOff>
      <xdr:row>13</xdr:row>
      <xdr:rowOff>274320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586E1C-0C09-062A-459B-DCB830791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266700</xdr:colOff>
      <xdr:row>17</xdr:row>
      <xdr:rowOff>243840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8C36B24-5FC6-ADB8-E4EA-7398964EB158}"/>
            </a:ext>
          </a:extLst>
        </xdr:cNvPr>
        <xdr:cNvSpPr/>
      </xdr:nvSpPr>
      <xdr:spPr>
        <a:xfrm>
          <a:off x="0" y="0"/>
          <a:ext cx="15019020" cy="542544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1100</a:t>
          </a:r>
          <a:endParaRPr lang="mr-IN" sz="1100"/>
        </a:p>
      </xdr:txBody>
    </xdr:sp>
    <xdr:clientData/>
  </xdr:twoCellAnchor>
  <xdr:twoCellAnchor>
    <xdr:from>
      <xdr:col>0</xdr:col>
      <xdr:colOff>68580</xdr:colOff>
      <xdr:row>0</xdr:row>
      <xdr:rowOff>68580</xdr:rowOff>
    </xdr:from>
    <xdr:to>
      <xdr:col>20</xdr:col>
      <xdr:colOff>655320</xdr:colOff>
      <xdr:row>1</xdr:row>
      <xdr:rowOff>91440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223A86D-CD46-472F-6C16-3D9D21FEA648}"/>
            </a:ext>
          </a:extLst>
        </xdr:cNvPr>
        <xdr:cNvSpPr/>
      </xdr:nvSpPr>
      <xdr:spPr>
        <a:xfrm>
          <a:off x="68580" y="68580"/>
          <a:ext cx="13997940" cy="3276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+mn-lt"/>
            </a:rPr>
            <a:t>EMPLOYEE</a:t>
          </a:r>
          <a:r>
            <a:rPr lang="en-US" sz="1400" b="1" baseline="0">
              <a:solidFill>
                <a:sysClr val="windowText" lastClr="000000"/>
              </a:solidFill>
              <a:latin typeface="+mn-lt"/>
            </a:rPr>
            <a:t> ENGAGEMENT &amp; ITS IMPACT ON PRODUCTIVITY</a:t>
          </a:r>
          <a:endParaRPr lang="mr-IN" sz="14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0</xdr:col>
      <xdr:colOff>60960</xdr:colOff>
      <xdr:row>3</xdr:row>
      <xdr:rowOff>198120</xdr:rowOff>
    </xdr:from>
    <xdr:to>
      <xdr:col>6</xdr:col>
      <xdr:colOff>541020</xdr:colOff>
      <xdr:row>9</xdr:row>
      <xdr:rowOff>182880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D472F0-EB8C-4997-92B2-A72F1BBBA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129540</xdr:colOff>
      <xdr:row>3</xdr:row>
      <xdr:rowOff>198120</xdr:rowOff>
    </xdr:from>
    <xdr:to>
      <xdr:col>20</xdr:col>
      <xdr:colOff>647700</xdr:colOff>
      <xdr:row>9</xdr:row>
      <xdr:rowOff>205740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29106C-0D05-434E-841F-0EA27534C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655320</xdr:colOff>
      <xdr:row>3</xdr:row>
      <xdr:rowOff>198120</xdr:rowOff>
    </xdr:from>
    <xdr:to>
      <xdr:col>14</xdr:col>
      <xdr:colOff>15240</xdr:colOff>
      <xdr:row>9</xdr:row>
      <xdr:rowOff>182880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CFF167-F622-4611-A01F-6C8DD705F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60960</xdr:colOff>
      <xdr:row>9</xdr:row>
      <xdr:rowOff>236220</xdr:rowOff>
    </xdr:from>
    <xdr:to>
      <xdr:col>6</xdr:col>
      <xdr:colOff>525780</xdr:colOff>
      <xdr:row>15</xdr:row>
      <xdr:rowOff>266700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EA80F33-3A9B-47A9-8B4E-85792E066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655320</xdr:colOff>
      <xdr:row>9</xdr:row>
      <xdr:rowOff>266700</xdr:rowOff>
    </xdr:from>
    <xdr:to>
      <xdr:col>14</xdr:col>
      <xdr:colOff>15240</xdr:colOff>
      <xdr:row>15</xdr:row>
      <xdr:rowOff>281940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836CE58-47F8-4DB5-9994-B4465269A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121920</xdr:colOff>
      <xdr:row>9</xdr:row>
      <xdr:rowOff>266700</xdr:rowOff>
    </xdr:from>
    <xdr:to>
      <xdr:col>20</xdr:col>
      <xdr:colOff>655320</xdr:colOff>
      <xdr:row>15</xdr:row>
      <xdr:rowOff>289560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D0AD747-4892-4433-8809-89CDAD0103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1</xdr:row>
      <xdr:rowOff>160020</xdr:rowOff>
    </xdr:from>
    <xdr:to>
      <xdr:col>4</xdr:col>
      <xdr:colOff>30480</xdr:colOff>
      <xdr:row>3</xdr:row>
      <xdr:rowOff>129540</xdr:rowOff>
    </xdr:to>
    <xdr:sp macro="" textlink="">
      <xdr:nvSpPr>
        <xdr:cNvPr id="11" name="Frame 10">
          <a:extLst>
            <a:ext uri="{FF2B5EF4-FFF2-40B4-BE49-F238E27FC236}">
              <a16:creationId xmlns:a16="http://schemas.microsoft.com/office/drawing/2014/main" id="{172397D0-56B4-F8CE-7C02-1A3FF832A4DF}"/>
            </a:ext>
          </a:extLst>
        </xdr:cNvPr>
        <xdr:cNvSpPr/>
      </xdr:nvSpPr>
      <xdr:spPr>
        <a:xfrm>
          <a:off x="152400" y="464820"/>
          <a:ext cx="2560320" cy="579120"/>
        </a:xfrm>
        <a:prstGeom prst="frame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000"/>
            <a:t>👥</a:t>
          </a:r>
          <a:r>
            <a:rPr lang="mr-IN" sz="1000" b="1">
              <a:solidFill>
                <a:sysClr val="windowText" lastClr="000000"/>
              </a:solidFill>
            </a:rPr>
            <a:t>Total Employees</a:t>
          </a:r>
          <a:r>
            <a:rPr lang="en-US" sz="1000" b="1">
              <a:solidFill>
                <a:sysClr val="windowText" lastClr="000000"/>
              </a:solidFill>
            </a:rPr>
            <a:t>/</a:t>
          </a:r>
          <a:r>
            <a:rPr lang="mr-IN" sz="1000" b="1">
              <a:solidFill>
                <a:sysClr val="windowText" lastClr="000000"/>
              </a:solidFill>
            </a:rPr>
            <a:t>Respondent</a:t>
          </a:r>
          <a:r>
            <a:rPr lang="en-US" sz="1000" b="1">
              <a:solidFill>
                <a:sysClr val="windowText" lastClr="000000"/>
              </a:solidFill>
            </a:rPr>
            <a:t>s</a:t>
          </a:r>
          <a:r>
            <a:rPr lang="en-US" sz="1000" b="1" baseline="0">
              <a:solidFill>
                <a:sysClr val="windowText" lastClr="000000"/>
              </a:solidFill>
            </a:rPr>
            <a:t> = </a:t>
          </a:r>
          <a:r>
            <a:rPr lang="en-US" sz="1000" b="1">
              <a:solidFill>
                <a:sysClr val="windowText" lastClr="000000"/>
              </a:solidFill>
            </a:rPr>
            <a:t>50</a:t>
          </a:r>
        </a:p>
        <a:p>
          <a:pPr algn="ctr"/>
          <a:endParaRPr lang="mr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251460</xdr:colOff>
      <xdr:row>1</xdr:row>
      <xdr:rowOff>152400</xdr:rowOff>
    </xdr:from>
    <xdr:to>
      <xdr:col>8</xdr:col>
      <xdr:colOff>129540</xdr:colOff>
      <xdr:row>3</xdr:row>
      <xdr:rowOff>129540</xdr:rowOff>
    </xdr:to>
    <xdr:sp macro="" textlink="">
      <xdr:nvSpPr>
        <xdr:cNvPr id="12" name="Frame 11">
          <a:extLst>
            <a:ext uri="{FF2B5EF4-FFF2-40B4-BE49-F238E27FC236}">
              <a16:creationId xmlns:a16="http://schemas.microsoft.com/office/drawing/2014/main" id="{C69F66B4-8D8F-4602-9CF7-001EB103D566}"/>
            </a:ext>
          </a:extLst>
        </xdr:cNvPr>
        <xdr:cNvSpPr/>
      </xdr:nvSpPr>
      <xdr:spPr>
        <a:xfrm>
          <a:off x="2933700" y="457200"/>
          <a:ext cx="2560320" cy="586740"/>
        </a:xfrm>
        <a:prstGeom prst="frame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100"/>
            <a:t>📊 </a:t>
          </a:r>
          <a:r>
            <a:rPr lang="mr-IN" sz="1000" b="1">
              <a:solidFill>
                <a:sysClr val="windowText" lastClr="000000"/>
              </a:solidFill>
            </a:rPr>
            <a:t>Employee Engagement Scor</a:t>
          </a:r>
          <a:r>
            <a:rPr lang="en-US" sz="1000" b="1">
              <a:solidFill>
                <a:sysClr val="windowText" lastClr="000000"/>
              </a:solidFill>
            </a:rPr>
            <a:t>e = 60 %</a:t>
          </a:r>
          <a:endParaRPr lang="en-US" sz="1000" b="1" baseline="0">
            <a:solidFill>
              <a:sysClr val="windowText" lastClr="000000"/>
            </a:solidFill>
          </a:endParaRPr>
        </a:p>
        <a:p>
          <a:pPr algn="ctr"/>
          <a:endParaRPr 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365760</xdr:colOff>
      <xdr:row>1</xdr:row>
      <xdr:rowOff>160020</xdr:rowOff>
    </xdr:from>
    <xdr:to>
      <xdr:col>12</xdr:col>
      <xdr:colOff>243840</xdr:colOff>
      <xdr:row>3</xdr:row>
      <xdr:rowOff>121920</xdr:rowOff>
    </xdr:to>
    <xdr:sp macro="" textlink="">
      <xdr:nvSpPr>
        <xdr:cNvPr id="13" name="Frame 12">
          <a:extLst>
            <a:ext uri="{FF2B5EF4-FFF2-40B4-BE49-F238E27FC236}">
              <a16:creationId xmlns:a16="http://schemas.microsoft.com/office/drawing/2014/main" id="{9906B9DA-2791-487A-A323-D2D23F881D78}"/>
            </a:ext>
          </a:extLst>
        </xdr:cNvPr>
        <xdr:cNvSpPr/>
      </xdr:nvSpPr>
      <xdr:spPr>
        <a:xfrm>
          <a:off x="5730240" y="464820"/>
          <a:ext cx="2560320" cy="571500"/>
        </a:xfrm>
        <a:prstGeom prst="frame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200"/>
            <a:t>⚡ </a:t>
          </a:r>
          <a:r>
            <a:rPr lang="mr-IN" sz="1200" b="1">
              <a:solidFill>
                <a:sysClr val="windowText" lastClr="000000"/>
              </a:solidFill>
            </a:rPr>
            <a:t>Productivity Score</a:t>
          </a:r>
          <a:r>
            <a:rPr lang="en-US" sz="1200" b="1">
              <a:solidFill>
                <a:sysClr val="windowText" lastClr="000000"/>
              </a:solidFill>
            </a:rPr>
            <a:t> = 100 %</a:t>
          </a:r>
          <a:endParaRPr lang="mr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518160</xdr:colOff>
      <xdr:row>1</xdr:row>
      <xdr:rowOff>160020</xdr:rowOff>
    </xdr:from>
    <xdr:to>
      <xdr:col>16</xdr:col>
      <xdr:colOff>396240</xdr:colOff>
      <xdr:row>3</xdr:row>
      <xdr:rowOff>121920</xdr:rowOff>
    </xdr:to>
    <xdr:sp macro="" textlink="">
      <xdr:nvSpPr>
        <xdr:cNvPr id="14" name="Frame 13">
          <a:extLst>
            <a:ext uri="{FF2B5EF4-FFF2-40B4-BE49-F238E27FC236}">
              <a16:creationId xmlns:a16="http://schemas.microsoft.com/office/drawing/2014/main" id="{5D740CAF-1610-4A71-B2E2-76D2EF3BA433}"/>
            </a:ext>
          </a:extLst>
        </xdr:cNvPr>
        <xdr:cNvSpPr/>
      </xdr:nvSpPr>
      <xdr:spPr>
        <a:xfrm>
          <a:off x="8564880" y="464820"/>
          <a:ext cx="2560320" cy="571500"/>
        </a:xfrm>
        <a:prstGeom prst="frame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1200"/>
            <a:t>😊 </a:t>
          </a:r>
          <a:r>
            <a:rPr lang="mr-IN" sz="1200" b="1">
              <a:solidFill>
                <a:sysClr val="windowText" lastClr="000000"/>
              </a:solidFill>
            </a:rPr>
            <a:t>Satisfaction Score</a:t>
          </a:r>
          <a:r>
            <a:rPr lang="en-US" sz="1200" b="1">
              <a:solidFill>
                <a:sysClr val="windowText" lastClr="000000"/>
              </a:solidFill>
            </a:rPr>
            <a:t> = 56 %</a:t>
          </a:r>
          <a:endParaRPr lang="mr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632460</xdr:colOff>
      <xdr:row>1</xdr:row>
      <xdr:rowOff>160020</xdr:rowOff>
    </xdr:from>
    <xdr:to>
      <xdr:col>20</xdr:col>
      <xdr:colOff>510540</xdr:colOff>
      <xdr:row>3</xdr:row>
      <xdr:rowOff>121920</xdr:rowOff>
    </xdr:to>
    <xdr:sp macro="" textlink="">
      <xdr:nvSpPr>
        <xdr:cNvPr id="15" name="Frame 14">
          <a:extLst>
            <a:ext uri="{FF2B5EF4-FFF2-40B4-BE49-F238E27FC236}">
              <a16:creationId xmlns:a16="http://schemas.microsoft.com/office/drawing/2014/main" id="{23248064-75FF-4138-8C18-2D4F6B11BB8C}"/>
            </a:ext>
          </a:extLst>
        </xdr:cNvPr>
        <xdr:cNvSpPr/>
      </xdr:nvSpPr>
      <xdr:spPr>
        <a:xfrm>
          <a:off x="11361420" y="464820"/>
          <a:ext cx="2560320" cy="571500"/>
        </a:xfrm>
        <a:prstGeom prst="frame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mr-IN" sz="900"/>
            <a:t>⚡ </a:t>
          </a:r>
          <a:r>
            <a:rPr lang="mr-IN" sz="1200" b="1">
              <a:solidFill>
                <a:sysClr val="windowText" lastClr="000000"/>
              </a:solidFill>
            </a:rPr>
            <a:t>MOTIVATION RATE</a:t>
          </a:r>
          <a:r>
            <a:rPr lang="en-US" sz="1200" b="1">
              <a:solidFill>
                <a:sysClr val="windowText" lastClr="000000"/>
              </a:solidFill>
            </a:rPr>
            <a:t> =</a:t>
          </a:r>
          <a:r>
            <a:rPr lang="en-US" sz="1200" b="1" baseline="0">
              <a:solidFill>
                <a:sysClr val="windowText" lastClr="000000"/>
              </a:solidFill>
            </a:rPr>
            <a:t> 60 %</a:t>
          </a:r>
          <a:endParaRPr lang="mr-IN" sz="1200" b="1">
            <a:solidFill>
              <a:sysClr val="windowText" lastClr="00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06F4-91AC-4CE5-8615-2E317963854D}">
  <dimension ref="B2:E5"/>
  <sheetViews>
    <sheetView zoomScale="89" workbookViewId="0">
      <selection activeCell="F7" sqref="F7"/>
    </sheetView>
  </sheetViews>
  <sheetFormatPr defaultRowHeight="24" x14ac:dyDescent="0.8"/>
  <cols>
    <col min="4" max="4" width="18.19921875" bestFit="1" customWidth="1"/>
    <col min="5" max="5" width="11.09765625" bestFit="1" customWidth="1"/>
  </cols>
  <sheetData>
    <row r="2" spans="2:5" x14ac:dyDescent="0.8">
      <c r="B2" s="2" t="s">
        <v>0</v>
      </c>
      <c r="C2" s="2" t="s">
        <v>1</v>
      </c>
      <c r="D2" s="2" t="s">
        <v>4</v>
      </c>
      <c r="E2" s="2" t="s">
        <v>5</v>
      </c>
    </row>
    <row r="3" spans="2:5" x14ac:dyDescent="0.8">
      <c r="B3" s="3">
        <v>1</v>
      </c>
      <c r="C3" s="3" t="s">
        <v>2</v>
      </c>
      <c r="D3" s="5">
        <v>31</v>
      </c>
      <c r="E3" s="4">
        <v>0.68</v>
      </c>
    </row>
    <row r="4" spans="2:5" x14ac:dyDescent="0.8">
      <c r="B4" s="3">
        <v>2</v>
      </c>
      <c r="C4" s="3" t="s">
        <v>3</v>
      </c>
      <c r="D4" s="5">
        <v>19</v>
      </c>
      <c r="E4" s="4">
        <v>0.38</v>
      </c>
    </row>
    <row r="5" spans="2:5" x14ac:dyDescent="0.8">
      <c r="B5" s="2" t="s">
        <v>6</v>
      </c>
      <c r="C5" s="3"/>
      <c r="D5" s="5">
        <v>50</v>
      </c>
      <c r="E5" s="4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A6E3-A4B9-4BFF-A52D-144F0A5FBA7E}">
  <dimension ref="B2:E7"/>
  <sheetViews>
    <sheetView workbookViewId="0">
      <selection activeCell="D14" sqref="D14"/>
    </sheetView>
  </sheetViews>
  <sheetFormatPr defaultRowHeight="24" x14ac:dyDescent="0.8"/>
  <cols>
    <col min="4" max="4" width="17.5" customWidth="1"/>
    <col min="5" max="5" width="12.796875" customWidth="1"/>
  </cols>
  <sheetData>
    <row r="2" spans="2:5" x14ac:dyDescent="0.8">
      <c r="B2" s="2" t="s">
        <v>7</v>
      </c>
      <c r="C2" s="2" t="s">
        <v>8</v>
      </c>
      <c r="D2" s="2" t="s">
        <v>9</v>
      </c>
      <c r="E2" s="2" t="s">
        <v>5</v>
      </c>
    </row>
    <row r="3" spans="2:5" x14ac:dyDescent="0.8">
      <c r="B3" s="3">
        <v>1</v>
      </c>
      <c r="C3" s="3" t="s">
        <v>10</v>
      </c>
      <c r="D3" s="3">
        <v>9</v>
      </c>
      <c r="E3" s="4">
        <f>D3/50</f>
        <v>0.18</v>
      </c>
    </row>
    <row r="4" spans="2:5" x14ac:dyDescent="0.8">
      <c r="B4" s="3">
        <v>2</v>
      </c>
      <c r="C4" s="3" t="s">
        <v>11</v>
      </c>
      <c r="D4" s="3">
        <v>19</v>
      </c>
      <c r="E4" s="4">
        <f t="shared" ref="E4:E7" si="0">D4/50</f>
        <v>0.38</v>
      </c>
    </row>
    <row r="5" spans="2:5" x14ac:dyDescent="0.8">
      <c r="B5" s="3">
        <v>3</v>
      </c>
      <c r="C5" s="3" t="s">
        <v>12</v>
      </c>
      <c r="D5" s="3">
        <v>11</v>
      </c>
      <c r="E5" s="4">
        <f t="shared" si="0"/>
        <v>0.22</v>
      </c>
    </row>
    <row r="6" spans="2:5" x14ac:dyDescent="0.8">
      <c r="B6" s="3">
        <v>4</v>
      </c>
      <c r="C6" s="3" t="s">
        <v>13</v>
      </c>
      <c r="D6" s="3">
        <v>11</v>
      </c>
      <c r="E6" s="4">
        <f t="shared" si="0"/>
        <v>0.22</v>
      </c>
    </row>
    <row r="7" spans="2:5" x14ac:dyDescent="0.8">
      <c r="B7" s="2" t="s">
        <v>6</v>
      </c>
      <c r="C7" s="3"/>
      <c r="D7" s="3">
        <f>SUM(D3:D6)</f>
        <v>50</v>
      </c>
      <c r="E7" s="4">
        <f t="shared" si="0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1948D-3645-4868-8156-AD96815282F0}">
  <dimension ref="B2:E9"/>
  <sheetViews>
    <sheetView workbookViewId="0">
      <selection activeCell="E4" sqref="E4"/>
    </sheetView>
  </sheetViews>
  <sheetFormatPr defaultRowHeight="24" x14ac:dyDescent="0.8"/>
  <cols>
    <col min="3" max="3" width="9.69921875" customWidth="1"/>
    <col min="4" max="4" width="17.796875" bestFit="1" customWidth="1"/>
    <col min="5" max="5" width="11.09765625" bestFit="1" customWidth="1"/>
  </cols>
  <sheetData>
    <row r="2" spans="2:5" x14ac:dyDescent="0.8">
      <c r="B2" s="2" t="s">
        <v>14</v>
      </c>
      <c r="C2" s="2" t="s">
        <v>15</v>
      </c>
      <c r="D2" s="2" t="s">
        <v>16</v>
      </c>
      <c r="E2" s="2" t="s">
        <v>5</v>
      </c>
    </row>
    <row r="3" spans="2:5" x14ac:dyDescent="0.8">
      <c r="B3" s="3">
        <v>1</v>
      </c>
      <c r="C3" s="3" t="s">
        <v>17</v>
      </c>
      <c r="D3" s="3">
        <v>16</v>
      </c>
      <c r="E3" s="4">
        <f>D3/50</f>
        <v>0.32</v>
      </c>
    </row>
    <row r="4" spans="2:5" x14ac:dyDescent="0.8">
      <c r="B4" s="3">
        <v>2</v>
      </c>
      <c r="C4" s="3" t="s">
        <v>18</v>
      </c>
      <c r="D4" s="3">
        <v>5</v>
      </c>
      <c r="E4" s="4">
        <f t="shared" ref="E4:E9" si="0">D4/50</f>
        <v>0.1</v>
      </c>
    </row>
    <row r="5" spans="2:5" x14ac:dyDescent="0.8">
      <c r="B5" s="3">
        <v>3</v>
      </c>
      <c r="C5" s="3" t="s">
        <v>19</v>
      </c>
      <c r="D5" s="3">
        <v>4</v>
      </c>
      <c r="E5" s="4">
        <f t="shared" si="0"/>
        <v>0.08</v>
      </c>
    </row>
    <row r="6" spans="2:5" x14ac:dyDescent="0.8">
      <c r="B6" s="3">
        <v>4</v>
      </c>
      <c r="C6" s="3" t="s">
        <v>20</v>
      </c>
      <c r="D6" s="3">
        <v>14</v>
      </c>
      <c r="E6" s="4">
        <f t="shared" si="0"/>
        <v>0.28000000000000003</v>
      </c>
    </row>
    <row r="7" spans="2:5" x14ac:dyDescent="0.8">
      <c r="B7" s="3">
        <v>5</v>
      </c>
      <c r="C7" s="3" t="s">
        <v>21</v>
      </c>
      <c r="D7" s="3">
        <v>4</v>
      </c>
      <c r="E7" s="4">
        <f t="shared" si="0"/>
        <v>0.08</v>
      </c>
    </row>
    <row r="8" spans="2:5" x14ac:dyDescent="0.8">
      <c r="B8" s="3">
        <v>6</v>
      </c>
      <c r="C8" s="3" t="s">
        <v>22</v>
      </c>
      <c r="D8" s="3">
        <v>7</v>
      </c>
      <c r="E8" s="4">
        <f t="shared" si="0"/>
        <v>0.14000000000000001</v>
      </c>
    </row>
    <row r="9" spans="2:5" x14ac:dyDescent="0.8">
      <c r="B9" s="2" t="s">
        <v>6</v>
      </c>
      <c r="C9" s="3"/>
      <c r="D9" s="3">
        <f>SUM(D3:D8)</f>
        <v>50</v>
      </c>
      <c r="E9" s="4">
        <f t="shared" si="0"/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F7F2-8844-49B4-A664-7F0C0AE8CAD3}">
  <dimension ref="B2:F8"/>
  <sheetViews>
    <sheetView workbookViewId="0">
      <selection activeCell="C14" sqref="C14"/>
    </sheetView>
  </sheetViews>
  <sheetFormatPr defaultRowHeight="24" x14ac:dyDescent="0.8"/>
  <cols>
    <col min="3" max="3" width="19.19921875" customWidth="1"/>
    <col min="4" max="4" width="17.5" customWidth="1"/>
    <col min="5" max="5" width="11.09765625" bestFit="1" customWidth="1"/>
  </cols>
  <sheetData>
    <row r="2" spans="2:6" x14ac:dyDescent="0.8">
      <c r="B2" s="2" t="s">
        <v>7</v>
      </c>
      <c r="C2" s="2" t="s">
        <v>23</v>
      </c>
      <c r="D2" s="2" t="s">
        <v>16</v>
      </c>
      <c r="E2" s="2" t="s">
        <v>5</v>
      </c>
    </row>
    <row r="3" spans="2:6" x14ac:dyDescent="0.8">
      <c r="B3" s="3">
        <v>1</v>
      </c>
      <c r="C3" s="3" t="s">
        <v>24</v>
      </c>
      <c r="D3" s="3">
        <v>7</v>
      </c>
      <c r="E3" s="4">
        <f>D3/50</f>
        <v>0.14000000000000001</v>
      </c>
      <c r="F3" s="1"/>
    </row>
    <row r="4" spans="2:6" x14ac:dyDescent="0.8">
      <c r="B4" s="3">
        <v>2</v>
      </c>
      <c r="C4" s="3" t="s">
        <v>25</v>
      </c>
      <c r="D4" s="3">
        <v>13</v>
      </c>
      <c r="E4" s="4">
        <f t="shared" ref="E4:E8" si="0">D4/50</f>
        <v>0.26</v>
      </c>
      <c r="F4" s="1"/>
    </row>
    <row r="5" spans="2:6" x14ac:dyDescent="0.8">
      <c r="B5" s="3">
        <v>3</v>
      </c>
      <c r="C5" s="3" t="s">
        <v>26</v>
      </c>
      <c r="D5" s="3">
        <v>11</v>
      </c>
      <c r="E5" s="4">
        <f t="shared" si="0"/>
        <v>0.22</v>
      </c>
      <c r="F5" s="1"/>
    </row>
    <row r="6" spans="2:6" x14ac:dyDescent="0.8">
      <c r="B6" s="3">
        <v>4</v>
      </c>
      <c r="C6" s="3" t="s">
        <v>27</v>
      </c>
      <c r="D6" s="3">
        <v>7</v>
      </c>
      <c r="E6" s="4">
        <f t="shared" si="0"/>
        <v>0.14000000000000001</v>
      </c>
      <c r="F6" s="1"/>
    </row>
    <row r="7" spans="2:6" x14ac:dyDescent="0.8">
      <c r="B7" s="3">
        <v>5</v>
      </c>
      <c r="C7" s="3" t="s">
        <v>28</v>
      </c>
      <c r="D7" s="3">
        <v>12</v>
      </c>
      <c r="E7" s="4">
        <f t="shared" si="0"/>
        <v>0.24</v>
      </c>
      <c r="F7" s="1"/>
    </row>
    <row r="8" spans="2:6" x14ac:dyDescent="0.8">
      <c r="B8" s="2" t="s">
        <v>6</v>
      </c>
      <c r="C8" s="3"/>
      <c r="D8" s="3">
        <f>SUM(D3:D7)</f>
        <v>50</v>
      </c>
      <c r="E8" s="4">
        <f t="shared" si="0"/>
        <v>1</v>
      </c>
      <c r="F8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6781-7D82-4C77-AB9A-8AF3C4ADACB1}">
  <dimension ref="B2:E7"/>
  <sheetViews>
    <sheetView workbookViewId="0">
      <selection activeCell="D11" sqref="D11"/>
    </sheetView>
  </sheetViews>
  <sheetFormatPr defaultRowHeight="24" x14ac:dyDescent="0.8"/>
  <cols>
    <col min="3" max="3" width="17.796875" customWidth="1"/>
    <col min="4" max="4" width="19" customWidth="1"/>
    <col min="5" max="5" width="11.296875" customWidth="1"/>
  </cols>
  <sheetData>
    <row r="2" spans="2:5" x14ac:dyDescent="0.8">
      <c r="B2" s="2" t="s">
        <v>7</v>
      </c>
      <c r="C2" s="2" t="s">
        <v>29</v>
      </c>
      <c r="D2" s="2" t="s">
        <v>16</v>
      </c>
      <c r="E2" s="2" t="s">
        <v>5</v>
      </c>
    </row>
    <row r="3" spans="2:5" x14ac:dyDescent="0.8">
      <c r="B3" s="3">
        <v>1</v>
      </c>
      <c r="C3" s="3" t="s">
        <v>30</v>
      </c>
      <c r="D3" s="3">
        <v>50</v>
      </c>
      <c r="E3" s="4">
        <f>D3/50</f>
        <v>1</v>
      </c>
    </row>
    <row r="4" spans="2:5" x14ac:dyDescent="0.8">
      <c r="B4" s="3">
        <v>2</v>
      </c>
      <c r="C4" s="3" t="s">
        <v>31</v>
      </c>
      <c r="D4" s="3">
        <v>0</v>
      </c>
      <c r="E4" s="4">
        <f t="shared" ref="E4:E7" si="0">D4/50</f>
        <v>0</v>
      </c>
    </row>
    <row r="5" spans="2:5" x14ac:dyDescent="0.8">
      <c r="B5" s="3">
        <v>3</v>
      </c>
      <c r="C5" s="3" t="s">
        <v>32</v>
      </c>
      <c r="D5" s="3">
        <v>0</v>
      </c>
      <c r="E5" s="4">
        <f t="shared" si="0"/>
        <v>0</v>
      </c>
    </row>
    <row r="6" spans="2:5" x14ac:dyDescent="0.8">
      <c r="B6" s="3">
        <v>4</v>
      </c>
      <c r="C6" s="3" t="s">
        <v>33</v>
      </c>
      <c r="D6" s="3">
        <v>0</v>
      </c>
      <c r="E6" s="4">
        <f t="shared" si="0"/>
        <v>0</v>
      </c>
    </row>
    <row r="7" spans="2:5" x14ac:dyDescent="0.8">
      <c r="B7" s="2" t="s">
        <v>6</v>
      </c>
      <c r="C7" s="3"/>
      <c r="D7" s="3">
        <f>SUM(D3:D6)</f>
        <v>50</v>
      </c>
      <c r="E7" s="4">
        <f t="shared" si="0"/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9CDE-7B47-4AF6-8A25-D7CE8DE5D7A8}">
  <dimension ref="B2:E8"/>
  <sheetViews>
    <sheetView workbookViewId="0">
      <selection activeCell="C3" sqref="C3"/>
    </sheetView>
  </sheetViews>
  <sheetFormatPr defaultRowHeight="24" x14ac:dyDescent="0.8"/>
  <cols>
    <col min="3" max="3" width="16.296875" customWidth="1"/>
    <col min="4" max="4" width="17.69921875" customWidth="1"/>
    <col min="5" max="5" width="12.69921875" customWidth="1"/>
  </cols>
  <sheetData>
    <row r="2" spans="2:5" x14ac:dyDescent="0.8">
      <c r="B2" s="2" t="s">
        <v>7</v>
      </c>
      <c r="C2" s="2" t="s">
        <v>34</v>
      </c>
      <c r="D2" s="2" t="s">
        <v>16</v>
      </c>
      <c r="E2" s="2" t="s">
        <v>5</v>
      </c>
    </row>
    <row r="3" spans="2:5" x14ac:dyDescent="0.8">
      <c r="B3" s="3">
        <v>1</v>
      </c>
      <c r="C3" s="3" t="s">
        <v>35</v>
      </c>
      <c r="D3" s="3">
        <v>0</v>
      </c>
      <c r="E3" s="4">
        <f>D3/50</f>
        <v>0</v>
      </c>
    </row>
    <row r="4" spans="2:5" x14ac:dyDescent="0.8">
      <c r="B4" s="3">
        <v>2</v>
      </c>
      <c r="C4" s="3" t="s">
        <v>36</v>
      </c>
      <c r="D4" s="3">
        <v>0</v>
      </c>
      <c r="E4" s="4">
        <f t="shared" ref="E4:E8" si="0">D4/50</f>
        <v>0</v>
      </c>
    </row>
    <row r="5" spans="2:5" x14ac:dyDescent="0.8">
      <c r="B5" s="3">
        <v>3</v>
      </c>
      <c r="C5" s="3" t="s">
        <v>37</v>
      </c>
      <c r="D5" s="3">
        <v>1</v>
      </c>
      <c r="E5" s="4">
        <f t="shared" si="0"/>
        <v>0.02</v>
      </c>
    </row>
    <row r="6" spans="2:5" x14ac:dyDescent="0.8">
      <c r="B6" s="3">
        <v>4</v>
      </c>
      <c r="C6" s="3" t="s">
        <v>38</v>
      </c>
      <c r="D6" s="3">
        <v>19</v>
      </c>
      <c r="E6" s="4">
        <f t="shared" si="0"/>
        <v>0.38</v>
      </c>
    </row>
    <row r="7" spans="2:5" x14ac:dyDescent="0.8">
      <c r="B7" s="3">
        <v>5</v>
      </c>
      <c r="C7" s="3" t="s">
        <v>62</v>
      </c>
      <c r="D7" s="3">
        <v>30</v>
      </c>
      <c r="E7" s="4">
        <f t="shared" si="0"/>
        <v>0.6</v>
      </c>
    </row>
    <row r="8" spans="2:5" x14ac:dyDescent="0.8">
      <c r="B8" s="2" t="s">
        <v>6</v>
      </c>
      <c r="C8" s="3"/>
      <c r="D8" s="3">
        <f>SUM(D3:D7)</f>
        <v>50</v>
      </c>
      <c r="E8" s="4">
        <f t="shared" si="0"/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B019-12BA-4FC9-A338-BB864D3CD58C}">
  <dimension ref="B2:E8"/>
  <sheetViews>
    <sheetView workbookViewId="0">
      <selection activeCell="D12" sqref="D12"/>
    </sheetView>
  </sheetViews>
  <sheetFormatPr defaultRowHeight="24" x14ac:dyDescent="0.8"/>
  <cols>
    <col min="3" max="3" width="16.69921875" customWidth="1"/>
    <col min="4" max="4" width="17.796875" customWidth="1"/>
    <col min="5" max="5" width="12.8984375" customWidth="1"/>
  </cols>
  <sheetData>
    <row r="2" spans="2:5" x14ac:dyDescent="0.8">
      <c r="B2" s="2" t="s">
        <v>7</v>
      </c>
      <c r="C2" s="2" t="s">
        <v>34</v>
      </c>
      <c r="D2" s="2" t="s">
        <v>16</v>
      </c>
      <c r="E2" s="2" t="s">
        <v>5</v>
      </c>
    </row>
    <row r="3" spans="2:5" x14ac:dyDescent="0.8">
      <c r="B3" s="3">
        <v>1</v>
      </c>
      <c r="C3" s="3" t="s">
        <v>35</v>
      </c>
      <c r="D3" s="3">
        <v>0</v>
      </c>
      <c r="E3" s="4">
        <f>D3/50</f>
        <v>0</v>
      </c>
    </row>
    <row r="4" spans="2:5" x14ac:dyDescent="0.8">
      <c r="B4" s="3">
        <v>2</v>
      </c>
      <c r="C4" s="3" t="s">
        <v>36</v>
      </c>
      <c r="D4" s="3">
        <v>0</v>
      </c>
      <c r="E4" s="4">
        <f t="shared" ref="E4:E8" si="0">D4/50</f>
        <v>0</v>
      </c>
    </row>
    <row r="5" spans="2:5" x14ac:dyDescent="0.8">
      <c r="B5" s="3">
        <v>3</v>
      </c>
      <c r="C5" s="3" t="s">
        <v>37</v>
      </c>
      <c r="D5" s="3">
        <v>3</v>
      </c>
      <c r="E5" s="4">
        <f t="shared" si="0"/>
        <v>0.06</v>
      </c>
    </row>
    <row r="6" spans="2:5" x14ac:dyDescent="0.8">
      <c r="B6" s="3">
        <v>4</v>
      </c>
      <c r="C6" s="3" t="s">
        <v>38</v>
      </c>
      <c r="D6" s="3">
        <v>17</v>
      </c>
      <c r="E6" s="4">
        <f t="shared" si="0"/>
        <v>0.34</v>
      </c>
    </row>
    <row r="7" spans="2:5" x14ac:dyDescent="0.8">
      <c r="B7" s="3">
        <v>5</v>
      </c>
      <c r="C7" s="3" t="s">
        <v>39</v>
      </c>
      <c r="D7" s="3">
        <v>30</v>
      </c>
      <c r="E7" s="4">
        <f t="shared" si="0"/>
        <v>0.6</v>
      </c>
    </row>
    <row r="8" spans="2:5" x14ac:dyDescent="0.8">
      <c r="B8" s="2" t="s">
        <v>6</v>
      </c>
      <c r="C8" s="3"/>
      <c r="D8" s="3">
        <f>SUM(D3:D7)</f>
        <v>50</v>
      </c>
      <c r="E8" s="4">
        <f t="shared" si="0"/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0180E-734F-47E8-B410-3201AD49C927}">
  <dimension ref="B2:E8"/>
  <sheetViews>
    <sheetView workbookViewId="0">
      <selection activeCell="D9" sqref="D9"/>
    </sheetView>
  </sheetViews>
  <sheetFormatPr defaultRowHeight="24" x14ac:dyDescent="0.8"/>
  <cols>
    <col min="3" max="3" width="17.09765625" customWidth="1"/>
    <col min="4" max="4" width="18.09765625" customWidth="1"/>
    <col min="5" max="5" width="11.296875" customWidth="1"/>
  </cols>
  <sheetData>
    <row r="2" spans="2:5" x14ac:dyDescent="0.8">
      <c r="B2" s="2" t="s">
        <v>7</v>
      </c>
      <c r="C2" s="2" t="s">
        <v>34</v>
      </c>
      <c r="D2" s="2" t="s">
        <v>16</v>
      </c>
      <c r="E2" s="2" t="s">
        <v>5</v>
      </c>
    </row>
    <row r="3" spans="2:5" x14ac:dyDescent="0.8">
      <c r="B3" s="3">
        <v>1</v>
      </c>
      <c r="C3" s="3" t="s">
        <v>35</v>
      </c>
      <c r="D3" s="3">
        <v>0</v>
      </c>
      <c r="E3" s="4">
        <f>D3/50</f>
        <v>0</v>
      </c>
    </row>
    <row r="4" spans="2:5" x14ac:dyDescent="0.8">
      <c r="B4" s="3">
        <v>2</v>
      </c>
      <c r="C4" s="3" t="s">
        <v>36</v>
      </c>
      <c r="D4" s="3">
        <v>0</v>
      </c>
      <c r="E4" s="4">
        <f t="shared" ref="E4:E8" si="0">D4/50</f>
        <v>0</v>
      </c>
    </row>
    <row r="5" spans="2:5" x14ac:dyDescent="0.8">
      <c r="B5" s="3">
        <v>3</v>
      </c>
      <c r="C5" s="3" t="s">
        <v>37</v>
      </c>
      <c r="D5" s="3">
        <v>1</v>
      </c>
      <c r="E5" s="4">
        <f t="shared" si="0"/>
        <v>0.02</v>
      </c>
    </row>
    <row r="6" spans="2:5" x14ac:dyDescent="0.8">
      <c r="B6" s="3">
        <v>4</v>
      </c>
      <c r="C6" s="3" t="s">
        <v>38</v>
      </c>
      <c r="D6" s="3">
        <v>12</v>
      </c>
      <c r="E6" s="4">
        <f t="shared" si="0"/>
        <v>0.24</v>
      </c>
    </row>
    <row r="7" spans="2:5" x14ac:dyDescent="0.8">
      <c r="B7" s="3">
        <v>5</v>
      </c>
      <c r="C7" s="3" t="s">
        <v>39</v>
      </c>
      <c r="D7" s="3">
        <v>37</v>
      </c>
      <c r="E7" s="4">
        <f t="shared" si="0"/>
        <v>0.74</v>
      </c>
    </row>
    <row r="8" spans="2:5" x14ac:dyDescent="0.8">
      <c r="B8" s="2" t="s">
        <v>6</v>
      </c>
      <c r="C8" s="3"/>
      <c r="D8" s="3">
        <f>SUM(D3:D7)</f>
        <v>50</v>
      </c>
      <c r="E8" s="4">
        <f t="shared" si="0"/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F9F8-4A21-47F9-AFF3-DD0495DFB5B9}">
  <dimension ref="B2:E8"/>
  <sheetViews>
    <sheetView workbookViewId="0">
      <selection activeCell="B3" sqref="B3:C8"/>
    </sheetView>
  </sheetViews>
  <sheetFormatPr defaultRowHeight="24" x14ac:dyDescent="0.8"/>
  <cols>
    <col min="3" max="3" width="18.296875" customWidth="1"/>
    <col min="4" max="4" width="19" customWidth="1"/>
    <col min="5" max="5" width="11.296875" customWidth="1"/>
  </cols>
  <sheetData>
    <row r="2" spans="2:5" x14ac:dyDescent="0.8">
      <c r="B2" s="2" t="s">
        <v>7</v>
      </c>
      <c r="C2" s="2" t="s">
        <v>34</v>
      </c>
      <c r="D2" s="2" t="s">
        <v>16</v>
      </c>
      <c r="E2" s="2" t="s">
        <v>5</v>
      </c>
    </row>
    <row r="3" spans="2:5" x14ac:dyDescent="0.8">
      <c r="B3" s="3">
        <v>1</v>
      </c>
      <c r="C3" s="3" t="s">
        <v>35</v>
      </c>
      <c r="D3" s="3">
        <v>0</v>
      </c>
      <c r="E3" s="4">
        <f>D3/50</f>
        <v>0</v>
      </c>
    </row>
    <row r="4" spans="2:5" x14ac:dyDescent="0.8">
      <c r="B4" s="3">
        <v>2</v>
      </c>
      <c r="C4" s="3" t="s">
        <v>36</v>
      </c>
      <c r="D4" s="3">
        <v>2</v>
      </c>
      <c r="E4" s="4">
        <f t="shared" ref="E4:E8" si="0">D4/50</f>
        <v>0.04</v>
      </c>
    </row>
    <row r="5" spans="2:5" x14ac:dyDescent="0.8">
      <c r="B5" s="3">
        <v>3</v>
      </c>
      <c r="C5" s="3" t="s">
        <v>37</v>
      </c>
      <c r="D5" s="3">
        <v>0</v>
      </c>
      <c r="E5" s="4">
        <f t="shared" si="0"/>
        <v>0</v>
      </c>
    </row>
    <row r="6" spans="2:5" x14ac:dyDescent="0.8">
      <c r="B6" s="3">
        <v>4</v>
      </c>
      <c r="C6" s="3" t="s">
        <v>38</v>
      </c>
      <c r="D6" s="3">
        <v>20</v>
      </c>
      <c r="E6" s="4">
        <f t="shared" si="0"/>
        <v>0.4</v>
      </c>
    </row>
    <row r="7" spans="2:5" x14ac:dyDescent="0.8">
      <c r="B7" s="3">
        <v>5</v>
      </c>
      <c r="C7" s="3" t="s">
        <v>39</v>
      </c>
      <c r="D7" s="3">
        <v>28</v>
      </c>
      <c r="E7" s="4">
        <f t="shared" si="0"/>
        <v>0.56000000000000005</v>
      </c>
    </row>
    <row r="8" spans="2:5" x14ac:dyDescent="0.8">
      <c r="B8" s="2" t="s">
        <v>6</v>
      </c>
      <c r="C8" s="3"/>
      <c r="D8" s="3">
        <f>SUM(D3:D7)</f>
        <v>50</v>
      </c>
      <c r="E8" s="4">
        <f t="shared" si="0"/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0451-9C28-4E33-AFF5-77FB108FAB78}">
  <dimension ref="B2:E8"/>
  <sheetViews>
    <sheetView workbookViewId="0">
      <selection activeCell="C2" sqref="C2"/>
    </sheetView>
  </sheetViews>
  <sheetFormatPr defaultRowHeight="24" x14ac:dyDescent="0.8"/>
  <cols>
    <col min="3" max="3" width="16.69921875" customWidth="1"/>
    <col min="4" max="4" width="18.69921875" customWidth="1"/>
    <col min="5" max="5" width="11.69921875" customWidth="1"/>
  </cols>
  <sheetData>
    <row r="2" spans="2:5" x14ac:dyDescent="0.8">
      <c r="B2" s="2" t="s">
        <v>7</v>
      </c>
      <c r="C2" s="2" t="s">
        <v>34</v>
      </c>
      <c r="D2" s="2" t="s">
        <v>16</v>
      </c>
      <c r="E2" s="2" t="s">
        <v>5</v>
      </c>
    </row>
    <row r="3" spans="2:5" x14ac:dyDescent="0.8">
      <c r="B3" s="3">
        <v>1</v>
      </c>
      <c r="C3" s="3" t="s">
        <v>35</v>
      </c>
      <c r="D3" s="3">
        <v>0</v>
      </c>
      <c r="E3" s="4">
        <f>D3/50</f>
        <v>0</v>
      </c>
    </row>
    <row r="4" spans="2:5" x14ac:dyDescent="0.8">
      <c r="B4" s="3">
        <v>2</v>
      </c>
      <c r="C4" s="3" t="s">
        <v>36</v>
      </c>
      <c r="D4" s="3">
        <v>2</v>
      </c>
      <c r="E4" s="4">
        <f t="shared" ref="E4:E8" si="0">D4/50</f>
        <v>0.04</v>
      </c>
    </row>
    <row r="5" spans="2:5" x14ac:dyDescent="0.8">
      <c r="B5" s="3">
        <v>3</v>
      </c>
      <c r="C5" s="3" t="s">
        <v>37</v>
      </c>
      <c r="D5" s="3">
        <v>0</v>
      </c>
      <c r="E5" s="4">
        <f t="shared" si="0"/>
        <v>0</v>
      </c>
    </row>
    <row r="6" spans="2:5" x14ac:dyDescent="0.8">
      <c r="B6" s="3">
        <v>4</v>
      </c>
      <c r="C6" s="3" t="s">
        <v>38</v>
      </c>
      <c r="D6" s="3">
        <v>20</v>
      </c>
      <c r="E6" s="4">
        <f t="shared" si="0"/>
        <v>0.4</v>
      </c>
    </row>
    <row r="7" spans="2:5" x14ac:dyDescent="0.8">
      <c r="B7" s="3">
        <v>5</v>
      </c>
      <c r="C7" s="3" t="s">
        <v>39</v>
      </c>
      <c r="D7" s="3">
        <v>28</v>
      </c>
      <c r="E7" s="4">
        <f t="shared" si="0"/>
        <v>0.56000000000000005</v>
      </c>
    </row>
    <row r="8" spans="2:5" x14ac:dyDescent="0.8">
      <c r="B8" s="2" t="s">
        <v>6</v>
      </c>
      <c r="C8" s="3"/>
      <c r="D8" s="3">
        <f>SUM(D3:D7)</f>
        <v>50</v>
      </c>
      <c r="E8" s="4">
        <f t="shared" si="0"/>
        <v>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2104-30E2-4BDB-AD98-52E0BB8A3A0F}">
  <dimension ref="B2:E8"/>
  <sheetViews>
    <sheetView workbookViewId="0">
      <selection activeCell="B2" sqref="B2:E2"/>
    </sheetView>
  </sheetViews>
  <sheetFormatPr defaultRowHeight="24" x14ac:dyDescent="0.8"/>
  <cols>
    <col min="3" max="3" width="16.796875" customWidth="1"/>
    <col min="4" max="4" width="18.8984375" customWidth="1"/>
    <col min="5" max="5" width="11.796875" customWidth="1"/>
  </cols>
  <sheetData>
    <row r="2" spans="2:5" x14ac:dyDescent="0.8">
      <c r="B2" s="2" t="s">
        <v>7</v>
      </c>
      <c r="C2" s="2" t="s">
        <v>34</v>
      </c>
      <c r="D2" s="2" t="s">
        <v>16</v>
      </c>
      <c r="E2" s="2" t="s">
        <v>5</v>
      </c>
    </row>
    <row r="3" spans="2:5" x14ac:dyDescent="0.8">
      <c r="B3" s="3">
        <v>1</v>
      </c>
      <c r="C3" s="3" t="s">
        <v>35</v>
      </c>
      <c r="D3" s="3">
        <v>1</v>
      </c>
      <c r="E3" s="4">
        <f>D3/50</f>
        <v>0.02</v>
      </c>
    </row>
    <row r="4" spans="2:5" x14ac:dyDescent="0.8">
      <c r="B4" s="3">
        <v>2</v>
      </c>
      <c r="C4" s="3" t="s">
        <v>36</v>
      </c>
      <c r="D4" s="3">
        <v>1</v>
      </c>
      <c r="E4" s="4">
        <f t="shared" ref="E4:E8" si="0">D4/50</f>
        <v>0.02</v>
      </c>
    </row>
    <row r="5" spans="2:5" x14ac:dyDescent="0.8">
      <c r="B5" s="3">
        <v>3</v>
      </c>
      <c r="C5" s="3" t="s">
        <v>37</v>
      </c>
      <c r="D5" s="3">
        <v>1</v>
      </c>
      <c r="E5" s="4">
        <f t="shared" si="0"/>
        <v>0.02</v>
      </c>
    </row>
    <row r="6" spans="2:5" x14ac:dyDescent="0.8">
      <c r="B6" s="3">
        <v>4</v>
      </c>
      <c r="C6" s="3" t="s">
        <v>38</v>
      </c>
      <c r="D6" s="3">
        <v>25</v>
      </c>
      <c r="E6" s="4">
        <f t="shared" si="0"/>
        <v>0.5</v>
      </c>
    </row>
    <row r="7" spans="2:5" x14ac:dyDescent="0.8">
      <c r="B7" s="3">
        <v>5</v>
      </c>
      <c r="C7" s="3" t="s">
        <v>39</v>
      </c>
      <c r="D7" s="3">
        <v>22</v>
      </c>
      <c r="E7" s="4">
        <f t="shared" si="0"/>
        <v>0.44</v>
      </c>
    </row>
    <row r="8" spans="2:5" x14ac:dyDescent="0.8">
      <c r="B8" s="2" t="s">
        <v>6</v>
      </c>
      <c r="C8" s="3"/>
      <c r="D8" s="3">
        <f>SUM(D3:D7)</f>
        <v>50</v>
      </c>
      <c r="E8" s="4">
        <f t="shared" si="0"/>
        <v>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D2ED-4534-440E-BB77-91055F4A182E}">
  <dimension ref="B2:E5"/>
  <sheetViews>
    <sheetView workbookViewId="0">
      <selection activeCell="D12" sqref="D12"/>
    </sheetView>
  </sheetViews>
  <sheetFormatPr defaultRowHeight="24" x14ac:dyDescent="0.8"/>
  <cols>
    <col min="3" max="3" width="11.3984375" customWidth="1"/>
    <col min="4" max="4" width="19.69921875" customWidth="1"/>
    <col min="5" max="5" width="12.3984375" customWidth="1"/>
  </cols>
  <sheetData>
    <row r="2" spans="2:5" x14ac:dyDescent="0.8">
      <c r="B2" s="2" t="s">
        <v>7</v>
      </c>
      <c r="C2" s="2" t="s">
        <v>34</v>
      </c>
      <c r="D2" s="2" t="s">
        <v>16</v>
      </c>
      <c r="E2" s="2" t="s">
        <v>5</v>
      </c>
    </row>
    <row r="3" spans="2:5" x14ac:dyDescent="0.8">
      <c r="B3" s="3">
        <v>1</v>
      </c>
      <c r="C3" s="3" t="s">
        <v>40</v>
      </c>
      <c r="D3" s="3">
        <v>43</v>
      </c>
      <c r="E3" s="4">
        <f>D3/50</f>
        <v>0.86</v>
      </c>
    </row>
    <row r="4" spans="2:5" x14ac:dyDescent="0.8">
      <c r="B4" s="3">
        <v>2</v>
      </c>
      <c r="C4" s="3" t="s">
        <v>41</v>
      </c>
      <c r="D4" s="3">
        <v>7</v>
      </c>
      <c r="E4" s="4">
        <f t="shared" ref="E4:E5" si="0">D4/50</f>
        <v>0.14000000000000001</v>
      </c>
    </row>
    <row r="5" spans="2:5" x14ac:dyDescent="0.8">
      <c r="B5" s="2" t="s">
        <v>6</v>
      </c>
      <c r="C5" s="3"/>
      <c r="D5" s="3">
        <f>SUM(D3:D4)</f>
        <v>50</v>
      </c>
      <c r="E5" s="4">
        <f t="shared" si="0"/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66BA2-4F3B-4BEB-BF63-087203CE4BC6}">
  <dimension ref="B2:E5"/>
  <sheetViews>
    <sheetView workbookViewId="0">
      <selection activeCell="B3" sqref="B3:C5"/>
    </sheetView>
  </sheetViews>
  <sheetFormatPr defaultRowHeight="24" x14ac:dyDescent="0.8"/>
  <cols>
    <col min="3" max="3" width="11.19921875" customWidth="1"/>
    <col min="4" max="4" width="17.796875" bestFit="1" customWidth="1"/>
    <col min="5" max="5" width="11" customWidth="1"/>
  </cols>
  <sheetData>
    <row r="2" spans="2:5" x14ac:dyDescent="0.8">
      <c r="B2" s="2" t="s">
        <v>7</v>
      </c>
      <c r="C2" s="2" t="s">
        <v>34</v>
      </c>
      <c r="D2" s="2" t="s">
        <v>16</v>
      </c>
      <c r="E2" s="2" t="s">
        <v>5</v>
      </c>
    </row>
    <row r="3" spans="2:5" x14ac:dyDescent="0.8">
      <c r="B3" s="3">
        <v>1</v>
      </c>
      <c r="C3" s="3" t="s">
        <v>40</v>
      </c>
      <c r="D3" s="3">
        <v>50</v>
      </c>
      <c r="E3" s="4">
        <f>D3/50</f>
        <v>1</v>
      </c>
    </row>
    <row r="4" spans="2:5" x14ac:dyDescent="0.8">
      <c r="B4" s="3">
        <v>2</v>
      </c>
      <c r="C4" s="3" t="s">
        <v>41</v>
      </c>
      <c r="D4" s="3">
        <v>0</v>
      </c>
      <c r="E4" s="4">
        <f t="shared" ref="E4:E5" si="0">D4/50</f>
        <v>0</v>
      </c>
    </row>
    <row r="5" spans="2:5" x14ac:dyDescent="0.8">
      <c r="B5" s="2" t="s">
        <v>6</v>
      </c>
      <c r="C5" s="3"/>
      <c r="D5" s="3">
        <f>SUM(D3:D4)</f>
        <v>50</v>
      </c>
      <c r="E5" s="4">
        <f t="shared" si="0"/>
        <v>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1411-3DCD-4B49-A9CF-801BEAB3EB3C}">
  <dimension ref="B2:E5"/>
  <sheetViews>
    <sheetView topLeftCell="A2" workbookViewId="0">
      <selection activeCell="D7" sqref="D7"/>
    </sheetView>
  </sheetViews>
  <sheetFormatPr defaultRowHeight="24" x14ac:dyDescent="0.8"/>
  <cols>
    <col min="3" max="3" width="11.69921875" customWidth="1"/>
    <col min="4" max="4" width="19.19921875" customWidth="1"/>
    <col min="5" max="5" width="11" customWidth="1"/>
  </cols>
  <sheetData>
    <row r="2" spans="2:5" x14ac:dyDescent="0.8">
      <c r="B2" s="2" t="s">
        <v>7</v>
      </c>
      <c r="C2" s="2" t="s">
        <v>34</v>
      </c>
      <c r="D2" s="2" t="s">
        <v>16</v>
      </c>
      <c r="E2" s="2" t="s">
        <v>5</v>
      </c>
    </row>
    <row r="3" spans="2:5" x14ac:dyDescent="0.8">
      <c r="B3" s="3">
        <v>1</v>
      </c>
      <c r="C3" s="3" t="s">
        <v>40</v>
      </c>
      <c r="D3" s="3">
        <v>50</v>
      </c>
      <c r="E3" s="4">
        <f>D3/50</f>
        <v>1</v>
      </c>
    </row>
    <row r="4" spans="2:5" x14ac:dyDescent="0.8">
      <c r="B4" s="3">
        <v>2</v>
      </c>
      <c r="C4" s="3" t="s">
        <v>41</v>
      </c>
      <c r="D4" s="3">
        <v>0</v>
      </c>
      <c r="E4" s="4">
        <f t="shared" ref="E4:E5" si="0">D4/50</f>
        <v>0</v>
      </c>
    </row>
    <row r="5" spans="2:5" x14ac:dyDescent="0.8">
      <c r="B5" s="2" t="s">
        <v>6</v>
      </c>
      <c r="C5" s="3"/>
      <c r="D5" s="3">
        <f>SUM(D3:D4)</f>
        <v>50</v>
      </c>
      <c r="E5" s="4">
        <f t="shared" si="0"/>
        <v>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FC9C-2511-4988-AF3A-AA503D6D4292}">
  <dimension ref="B2:E5"/>
  <sheetViews>
    <sheetView workbookViewId="0">
      <selection activeCell="E8" sqref="E8"/>
    </sheetView>
  </sheetViews>
  <sheetFormatPr defaultRowHeight="24" x14ac:dyDescent="0.8"/>
  <cols>
    <col min="3" max="3" width="11.3984375" customWidth="1"/>
    <col min="4" max="4" width="19.09765625" customWidth="1"/>
    <col min="5" max="5" width="12.69921875" customWidth="1"/>
  </cols>
  <sheetData>
    <row r="2" spans="2:5" x14ac:dyDescent="0.8">
      <c r="B2" s="2" t="s">
        <v>7</v>
      </c>
      <c r="C2" s="2" t="s">
        <v>34</v>
      </c>
      <c r="D2" s="2" t="s">
        <v>16</v>
      </c>
      <c r="E2" s="2" t="s">
        <v>5</v>
      </c>
    </row>
    <row r="3" spans="2:5" x14ac:dyDescent="0.8">
      <c r="B3" s="3">
        <v>1</v>
      </c>
      <c r="C3" s="3" t="s">
        <v>40</v>
      </c>
      <c r="D3" s="3">
        <v>50</v>
      </c>
      <c r="E3" s="4">
        <f>D3/50</f>
        <v>1</v>
      </c>
    </row>
    <row r="4" spans="2:5" x14ac:dyDescent="0.8">
      <c r="B4" s="3">
        <v>2</v>
      </c>
      <c r="C4" s="3" t="s">
        <v>41</v>
      </c>
      <c r="D4" s="3">
        <v>0</v>
      </c>
      <c r="E4" s="4">
        <f t="shared" ref="E4:E5" si="0">D4/50</f>
        <v>0</v>
      </c>
    </row>
    <row r="5" spans="2:5" x14ac:dyDescent="0.8">
      <c r="B5" s="2" t="s">
        <v>6</v>
      </c>
      <c r="C5" s="3"/>
      <c r="D5" s="3">
        <f>SUM(D3:D4)</f>
        <v>50</v>
      </c>
      <c r="E5" s="4">
        <f t="shared" si="0"/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3597-A7B8-4BA4-B266-0CFDE64748C8}">
  <dimension ref="B2:E5"/>
  <sheetViews>
    <sheetView workbookViewId="0">
      <selection activeCell="B3" sqref="B3:C5"/>
    </sheetView>
  </sheetViews>
  <sheetFormatPr defaultRowHeight="24" x14ac:dyDescent="0.8"/>
  <cols>
    <col min="3" max="3" width="12.8984375" customWidth="1"/>
    <col min="4" max="4" width="20.8984375" customWidth="1"/>
    <col min="5" max="5" width="11.8984375" customWidth="1"/>
  </cols>
  <sheetData>
    <row r="2" spans="2:5" x14ac:dyDescent="0.8">
      <c r="B2" s="2" t="s">
        <v>7</v>
      </c>
      <c r="C2" s="2" t="s">
        <v>34</v>
      </c>
      <c r="D2" s="2" t="s">
        <v>16</v>
      </c>
      <c r="E2" s="2" t="s">
        <v>5</v>
      </c>
    </row>
    <row r="3" spans="2:5" x14ac:dyDescent="0.8">
      <c r="B3" s="3">
        <v>1</v>
      </c>
      <c r="C3" s="3" t="s">
        <v>40</v>
      </c>
      <c r="D3" s="3">
        <v>50</v>
      </c>
      <c r="E3" s="4">
        <f>D3/50</f>
        <v>1</v>
      </c>
    </row>
    <row r="4" spans="2:5" x14ac:dyDescent="0.8">
      <c r="B4" s="3">
        <v>2</v>
      </c>
      <c r="C4" s="3" t="s">
        <v>41</v>
      </c>
      <c r="D4" s="3">
        <v>0</v>
      </c>
      <c r="E4" s="4">
        <f t="shared" ref="E4:E5" si="0">D4/50</f>
        <v>0</v>
      </c>
    </row>
    <row r="5" spans="2:5" x14ac:dyDescent="0.8">
      <c r="B5" s="2" t="s">
        <v>6</v>
      </c>
      <c r="C5" s="3"/>
      <c r="D5" s="3">
        <f>SUM(D3:D4)</f>
        <v>50</v>
      </c>
      <c r="E5" s="4">
        <f t="shared" si="0"/>
        <v>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5B7E-6FCB-4DF3-8FD8-F4D2F8B8302F}">
  <dimension ref="B2:E5"/>
  <sheetViews>
    <sheetView workbookViewId="0">
      <selection activeCell="B3" sqref="B3:C5"/>
    </sheetView>
  </sheetViews>
  <sheetFormatPr defaultRowHeight="24" x14ac:dyDescent="0.8"/>
  <cols>
    <col min="3" max="3" width="12.09765625" customWidth="1"/>
    <col min="4" max="4" width="20.59765625" customWidth="1"/>
    <col min="5" max="5" width="11.59765625" customWidth="1"/>
  </cols>
  <sheetData>
    <row r="2" spans="2:5" x14ac:dyDescent="0.8">
      <c r="B2" s="2" t="s">
        <v>7</v>
      </c>
      <c r="C2" s="2" t="s">
        <v>34</v>
      </c>
      <c r="D2" s="2" t="s">
        <v>16</v>
      </c>
      <c r="E2" s="2" t="s">
        <v>5</v>
      </c>
    </row>
    <row r="3" spans="2:5" x14ac:dyDescent="0.8">
      <c r="B3" s="3">
        <v>1</v>
      </c>
      <c r="C3" s="3" t="s">
        <v>40</v>
      </c>
      <c r="D3" s="3">
        <v>47</v>
      </c>
      <c r="E3" s="4">
        <f>D3/50</f>
        <v>0.94</v>
      </c>
    </row>
    <row r="4" spans="2:5" x14ac:dyDescent="0.8">
      <c r="B4" s="3">
        <v>2</v>
      </c>
      <c r="C4" s="3" t="s">
        <v>41</v>
      </c>
      <c r="D4" s="3">
        <v>3</v>
      </c>
      <c r="E4" s="4">
        <f t="shared" ref="E4:E5" si="0">D4/50</f>
        <v>0.06</v>
      </c>
    </row>
    <row r="5" spans="2:5" x14ac:dyDescent="0.8">
      <c r="B5" s="2" t="s">
        <v>6</v>
      </c>
      <c r="C5" s="3"/>
      <c r="D5" s="3">
        <f>SUM(D3:D4)</f>
        <v>50</v>
      </c>
      <c r="E5" s="4">
        <f t="shared" si="0"/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4AE4-38BD-4706-8044-D28363C08D9B}">
  <dimension ref="B2:E7"/>
  <sheetViews>
    <sheetView workbookViewId="0">
      <selection activeCell="E12" sqref="E12"/>
    </sheetView>
  </sheetViews>
  <sheetFormatPr defaultRowHeight="24" x14ac:dyDescent="0.8"/>
  <cols>
    <col min="3" max="3" width="38" customWidth="1"/>
    <col min="4" max="4" width="17.69921875" customWidth="1"/>
    <col min="5" max="5" width="11.59765625" customWidth="1"/>
  </cols>
  <sheetData>
    <row r="2" spans="2:5" x14ac:dyDescent="0.8">
      <c r="B2" s="2" t="s">
        <v>7</v>
      </c>
      <c r="C2" s="2" t="s">
        <v>34</v>
      </c>
      <c r="D2" s="2" t="s">
        <v>16</v>
      </c>
      <c r="E2" s="2" t="s">
        <v>5</v>
      </c>
    </row>
    <row r="3" spans="2:5" x14ac:dyDescent="0.8">
      <c r="B3" s="3">
        <v>1</v>
      </c>
      <c r="C3" s="3" t="s">
        <v>42</v>
      </c>
      <c r="D3" s="3">
        <v>11</v>
      </c>
      <c r="E3" s="4">
        <f>D3/50</f>
        <v>0.22</v>
      </c>
    </row>
    <row r="4" spans="2:5" x14ac:dyDescent="0.8">
      <c r="B4" s="3">
        <v>2</v>
      </c>
      <c r="C4" s="3" t="s">
        <v>43</v>
      </c>
      <c r="D4" s="3">
        <v>19</v>
      </c>
      <c r="E4" s="4">
        <f t="shared" ref="E4:E7" si="0">D4/50</f>
        <v>0.38</v>
      </c>
    </row>
    <row r="5" spans="2:5" x14ac:dyDescent="0.8">
      <c r="B5" s="3">
        <v>3</v>
      </c>
      <c r="C5" s="3" t="s">
        <v>44</v>
      </c>
      <c r="D5" s="3">
        <v>20</v>
      </c>
      <c r="E5" s="4">
        <f t="shared" si="0"/>
        <v>0.4</v>
      </c>
    </row>
    <row r="6" spans="2:5" x14ac:dyDescent="0.8">
      <c r="B6" s="3">
        <v>4</v>
      </c>
      <c r="C6" s="3" t="s">
        <v>45</v>
      </c>
      <c r="D6" s="3">
        <v>0</v>
      </c>
      <c r="E6" s="4">
        <f t="shared" si="0"/>
        <v>0</v>
      </c>
    </row>
    <row r="7" spans="2:5" x14ac:dyDescent="0.8">
      <c r="B7" s="2" t="s">
        <v>6</v>
      </c>
      <c r="C7" s="3"/>
      <c r="D7" s="3">
        <f>SUM(D3:D6)</f>
        <v>50</v>
      </c>
      <c r="E7" s="4">
        <f t="shared" si="0"/>
        <v>1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15CA-9E0F-42D1-8E13-BE4F8DDF44A3}">
  <dimension ref="B2:E7"/>
  <sheetViews>
    <sheetView topLeftCell="C1" workbookViewId="0">
      <selection activeCell="B2" sqref="B2:E2"/>
    </sheetView>
  </sheetViews>
  <sheetFormatPr defaultRowHeight="24" x14ac:dyDescent="0.8"/>
  <cols>
    <col min="3" max="3" width="55.09765625" customWidth="1"/>
    <col min="4" max="4" width="17.8984375" customWidth="1"/>
    <col min="5" max="5" width="12" customWidth="1"/>
  </cols>
  <sheetData>
    <row r="2" spans="2:5" x14ac:dyDescent="0.8">
      <c r="B2" s="2" t="s">
        <v>7</v>
      </c>
      <c r="C2" s="2" t="s">
        <v>34</v>
      </c>
      <c r="D2" s="2" t="s">
        <v>16</v>
      </c>
      <c r="E2" s="2" t="s">
        <v>5</v>
      </c>
    </row>
    <row r="3" spans="2:5" x14ac:dyDescent="0.8">
      <c r="B3" s="3">
        <v>1</v>
      </c>
      <c r="C3" s="3" t="s">
        <v>46</v>
      </c>
      <c r="D3" s="3">
        <v>9</v>
      </c>
      <c r="E3" s="4">
        <f>D3/50</f>
        <v>0.18</v>
      </c>
    </row>
    <row r="4" spans="2:5" x14ac:dyDescent="0.8">
      <c r="B4" s="3">
        <v>2</v>
      </c>
      <c r="C4" s="3" t="s">
        <v>47</v>
      </c>
      <c r="D4" s="3">
        <v>15</v>
      </c>
      <c r="E4" s="4">
        <f t="shared" ref="E4:E7" si="0">D4/50</f>
        <v>0.3</v>
      </c>
    </row>
    <row r="5" spans="2:5" x14ac:dyDescent="0.8">
      <c r="B5" s="3">
        <v>3</v>
      </c>
      <c r="C5" s="3" t="s">
        <v>48</v>
      </c>
      <c r="D5" s="3">
        <v>5</v>
      </c>
      <c r="E5" s="4">
        <f t="shared" si="0"/>
        <v>0.1</v>
      </c>
    </row>
    <row r="6" spans="2:5" x14ac:dyDescent="0.8">
      <c r="B6" s="3">
        <v>4</v>
      </c>
      <c r="C6" s="3" t="s">
        <v>49</v>
      </c>
      <c r="D6" s="3">
        <v>21</v>
      </c>
      <c r="E6" s="4">
        <f t="shared" si="0"/>
        <v>0.42</v>
      </c>
    </row>
    <row r="7" spans="2:5" x14ac:dyDescent="0.8">
      <c r="B7" s="2" t="s">
        <v>6</v>
      </c>
      <c r="C7" s="3"/>
      <c r="D7" s="3">
        <f>SUM(D3:D6)</f>
        <v>50</v>
      </c>
      <c r="E7" s="4">
        <f t="shared" si="0"/>
        <v>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CFF5-CF54-496F-8966-172096CC48CD}">
  <dimension ref="B2:E7"/>
  <sheetViews>
    <sheetView workbookViewId="0">
      <selection activeCell="B2" sqref="B2:E2"/>
    </sheetView>
  </sheetViews>
  <sheetFormatPr defaultRowHeight="24" x14ac:dyDescent="0.8"/>
  <cols>
    <col min="3" max="3" width="44.59765625" customWidth="1"/>
    <col min="4" max="4" width="19.8984375" customWidth="1"/>
    <col min="5" max="5" width="12.3984375" customWidth="1"/>
  </cols>
  <sheetData>
    <row r="2" spans="2:5" x14ac:dyDescent="0.8">
      <c r="B2" s="2" t="s">
        <v>7</v>
      </c>
      <c r="C2" s="2" t="s">
        <v>34</v>
      </c>
      <c r="D2" s="2" t="s">
        <v>16</v>
      </c>
      <c r="E2" s="2" t="s">
        <v>5</v>
      </c>
    </row>
    <row r="3" spans="2:5" x14ac:dyDescent="0.8">
      <c r="B3" s="3">
        <v>1</v>
      </c>
      <c r="C3" s="3" t="s">
        <v>50</v>
      </c>
      <c r="D3" s="3">
        <v>19</v>
      </c>
      <c r="E3" s="4">
        <f>D3/50</f>
        <v>0.38</v>
      </c>
    </row>
    <row r="4" spans="2:5" x14ac:dyDescent="0.8">
      <c r="B4" s="3">
        <v>2</v>
      </c>
      <c r="C4" s="3" t="s">
        <v>51</v>
      </c>
      <c r="D4" s="3">
        <v>13</v>
      </c>
      <c r="E4" s="4">
        <f t="shared" ref="E4:E7" si="0">D4/50</f>
        <v>0.26</v>
      </c>
    </row>
    <row r="5" spans="2:5" x14ac:dyDescent="0.8">
      <c r="B5" s="3">
        <v>3</v>
      </c>
      <c r="C5" s="3" t="s">
        <v>52</v>
      </c>
      <c r="D5" s="3">
        <v>15</v>
      </c>
      <c r="E5" s="4">
        <f t="shared" si="0"/>
        <v>0.3</v>
      </c>
    </row>
    <row r="6" spans="2:5" x14ac:dyDescent="0.8">
      <c r="B6" s="3">
        <v>4</v>
      </c>
      <c r="C6" s="3" t="s">
        <v>53</v>
      </c>
      <c r="D6" s="3">
        <v>3</v>
      </c>
      <c r="E6" s="4">
        <f t="shared" si="0"/>
        <v>0.06</v>
      </c>
    </row>
    <row r="7" spans="2:5" x14ac:dyDescent="0.8">
      <c r="B7" s="2" t="s">
        <v>6</v>
      </c>
      <c r="C7" s="3"/>
      <c r="D7" s="3">
        <f>SUM(D3:D6)</f>
        <v>50</v>
      </c>
      <c r="E7" s="4">
        <f t="shared" si="0"/>
        <v>1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9AC0-AFAA-45FE-8A1F-CFAD233E6001}">
  <dimension ref="B2:E7"/>
  <sheetViews>
    <sheetView workbookViewId="0">
      <selection activeCell="B2" sqref="B2:E2"/>
    </sheetView>
  </sheetViews>
  <sheetFormatPr defaultRowHeight="24" x14ac:dyDescent="0.8"/>
  <cols>
    <col min="3" max="3" width="31.5" customWidth="1"/>
    <col min="4" max="4" width="20.09765625" customWidth="1"/>
    <col min="5" max="5" width="12.296875" customWidth="1"/>
  </cols>
  <sheetData>
    <row r="2" spans="2:5" x14ac:dyDescent="0.8">
      <c r="B2" s="2" t="s">
        <v>7</v>
      </c>
      <c r="C2" s="2" t="s">
        <v>34</v>
      </c>
      <c r="D2" s="2" t="s">
        <v>16</v>
      </c>
      <c r="E2" s="2" t="s">
        <v>5</v>
      </c>
    </row>
    <row r="3" spans="2:5" x14ac:dyDescent="0.8">
      <c r="B3" s="3">
        <v>1</v>
      </c>
      <c r="C3" s="3" t="s">
        <v>54</v>
      </c>
      <c r="D3" s="3">
        <v>15</v>
      </c>
      <c r="E3" s="4">
        <f>D3/50</f>
        <v>0.3</v>
      </c>
    </row>
    <row r="4" spans="2:5" x14ac:dyDescent="0.8">
      <c r="B4" s="3">
        <v>2</v>
      </c>
      <c r="C4" s="3" t="s">
        <v>55</v>
      </c>
      <c r="D4" s="3">
        <v>16</v>
      </c>
      <c r="E4" s="4">
        <f t="shared" ref="E4:E7" si="0">D4/50</f>
        <v>0.32</v>
      </c>
    </row>
    <row r="5" spans="2:5" x14ac:dyDescent="0.8">
      <c r="B5" s="3">
        <v>3</v>
      </c>
      <c r="C5" s="3" t="s">
        <v>56</v>
      </c>
      <c r="D5" s="3">
        <v>17</v>
      </c>
      <c r="E5" s="4">
        <f t="shared" si="0"/>
        <v>0.34</v>
      </c>
    </row>
    <row r="6" spans="2:5" x14ac:dyDescent="0.8">
      <c r="B6" s="3">
        <v>4</v>
      </c>
      <c r="C6" s="3" t="s">
        <v>57</v>
      </c>
      <c r="D6" s="3">
        <v>2</v>
      </c>
      <c r="E6" s="4">
        <f t="shared" si="0"/>
        <v>0.04</v>
      </c>
    </row>
    <row r="7" spans="2:5" x14ac:dyDescent="0.8">
      <c r="B7" s="2" t="s">
        <v>6</v>
      </c>
      <c r="C7" s="3"/>
      <c r="D7" s="3">
        <f>SUM(D3:D6)</f>
        <v>50</v>
      </c>
      <c r="E7" s="4">
        <f t="shared" si="0"/>
        <v>1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B947F-90D8-4943-B993-147021F4A148}">
  <dimension ref="B2:E7"/>
  <sheetViews>
    <sheetView topLeftCell="C1" workbookViewId="0">
      <selection activeCell="E14" sqref="E14"/>
    </sheetView>
  </sheetViews>
  <sheetFormatPr defaultRowHeight="24" x14ac:dyDescent="0.8"/>
  <cols>
    <col min="3" max="3" width="44.09765625" customWidth="1"/>
    <col min="4" max="4" width="19.09765625" customWidth="1"/>
    <col min="5" max="5" width="13" customWidth="1"/>
  </cols>
  <sheetData>
    <row r="2" spans="2:5" x14ac:dyDescent="0.8">
      <c r="B2" s="2" t="s">
        <v>7</v>
      </c>
      <c r="C2" s="2" t="s">
        <v>34</v>
      </c>
      <c r="D2" s="2" t="s">
        <v>16</v>
      </c>
      <c r="E2" s="2" t="s">
        <v>5</v>
      </c>
    </row>
    <row r="3" spans="2:5" x14ac:dyDescent="0.8">
      <c r="B3" s="3">
        <v>1</v>
      </c>
      <c r="C3" s="3" t="s">
        <v>58</v>
      </c>
      <c r="D3" s="3">
        <v>15</v>
      </c>
      <c r="E3" s="4">
        <f>D3/50</f>
        <v>0.3</v>
      </c>
    </row>
    <row r="4" spans="2:5" x14ac:dyDescent="0.8">
      <c r="B4" s="3">
        <v>2</v>
      </c>
      <c r="C4" s="3" t="s">
        <v>59</v>
      </c>
      <c r="D4" s="3">
        <v>4</v>
      </c>
      <c r="E4" s="4">
        <f t="shared" ref="E4:E7" si="0">D4/50</f>
        <v>0.08</v>
      </c>
    </row>
    <row r="5" spans="2:5" x14ac:dyDescent="0.8">
      <c r="B5" s="3">
        <v>3</v>
      </c>
      <c r="C5" s="3" t="s">
        <v>60</v>
      </c>
      <c r="D5" s="3">
        <v>17</v>
      </c>
      <c r="E5" s="4">
        <f t="shared" si="0"/>
        <v>0.34</v>
      </c>
    </row>
    <row r="6" spans="2:5" x14ac:dyDescent="0.8">
      <c r="B6" s="3">
        <v>4</v>
      </c>
      <c r="C6" s="3" t="s">
        <v>61</v>
      </c>
      <c r="D6" s="3">
        <v>14</v>
      </c>
      <c r="E6" s="4">
        <f t="shared" si="0"/>
        <v>0.28000000000000003</v>
      </c>
    </row>
    <row r="7" spans="2:5" x14ac:dyDescent="0.8">
      <c r="B7" s="2" t="s">
        <v>6</v>
      </c>
      <c r="C7" s="3"/>
      <c r="D7" s="3">
        <f>SUM(D3:D6)</f>
        <v>50</v>
      </c>
      <c r="E7" s="4">
        <f t="shared" si="0"/>
        <v>1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713E-8716-4361-824C-1EA39B34F775}">
  <dimension ref="A1"/>
  <sheetViews>
    <sheetView tabSelected="1" workbookViewId="0">
      <selection activeCell="T19" sqref="T19"/>
    </sheetView>
  </sheetViews>
  <sheetFormatPr defaultRowHeight="24" x14ac:dyDescent="0.8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Q.1</vt:lpstr>
      <vt:lpstr>Q.2</vt:lpstr>
      <vt:lpstr>Q.3</vt:lpstr>
      <vt:lpstr>Q.4</vt:lpstr>
      <vt:lpstr>Q.5</vt:lpstr>
      <vt:lpstr>Q.6</vt:lpstr>
      <vt:lpstr>Q.7</vt:lpstr>
      <vt:lpstr>Q.8</vt:lpstr>
      <vt:lpstr>Q.9</vt:lpstr>
      <vt:lpstr>Q.10</vt:lpstr>
      <vt:lpstr>Q.11</vt:lpstr>
      <vt:lpstr>Q.12</vt:lpstr>
      <vt:lpstr>Q.13</vt:lpstr>
      <vt:lpstr>Q.14</vt:lpstr>
      <vt:lpstr>Q.15</vt:lpstr>
      <vt:lpstr>Q.16</vt:lpstr>
      <vt:lpstr>Q.17</vt:lpstr>
      <vt:lpstr>Q.18</vt:lpstr>
      <vt:lpstr>Q.19</vt:lpstr>
      <vt:lpstr>Q.20</vt:lpstr>
      <vt:lpstr>Q.21</vt:lpstr>
      <vt:lpstr>Q.22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Ghadage</dc:creator>
  <cp:lastModifiedBy>Sanika Ghadage</cp:lastModifiedBy>
  <dcterms:created xsi:type="dcterms:W3CDTF">2026-07-25T06:45:14Z</dcterms:created>
  <dcterms:modified xsi:type="dcterms:W3CDTF">2026-08-06T10:54:27Z</dcterms:modified>
</cp:coreProperties>
</file>